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firstSheet="1" activeTab="5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SlicerConfig" sheetId="6" r:id="rId8"/>
    <sheet name="Trail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<sst xmlns="http://schemas.openxmlformats.org/spreadsheetml/2006/main" count="1348" uniqueCount="982">
  <si>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</si>
  <si>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</si>
  <si>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</si>
  <si>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</si>
  <si>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</si>
  <si>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</si>
  <si>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</si>
  <si>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</si>
  <si>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</si>
  <si>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</si>
  <si>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</si>
  <si>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</si>
  <si>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</si>
  <si>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</si>
  <si>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</si>
  <si>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SlicerConfig</t>
  </si>
  <si>
    <t>切割器</t>
  </si>
  <si>
    <t>TrainingRateConfig</t>
  </si>
  <si>
    <t>TrailConfig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</si>
  <si>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</si>
  <si>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</si>
  <si>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</si>
  <si>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</si>
  <si>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</si>
  <si>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</si>
  <si>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</si>
  <si>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</si>
  <si>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</si>
  <si>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</si>
  <si>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</si>
  <si>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</si>
  <si>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</si>
  <si>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</si>
  <si>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</si>
  <si>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</si>
  <si>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</si>
  <si>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</si>
  <si>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</si>
  <si>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</si>
  <si>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</si>
  <si>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</si>
  <si>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</si>
  <si>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</si>
  <si>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</si>
  <si>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</si>
  <si>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</si>
  <si>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</si>
  <si>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</si>
  <si>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</si>
  <si>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</si>
  <si>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</si>
  <si>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</si>
  <si>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</si>
  <si>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</si>
  <si>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</si>
  <si>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</si>
  <si>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</si>
  <si>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</si>
  <si>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</si>
  <si>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</si>
  <si>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</si>
  <si>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</si>
  <si>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</si>
  <si>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BlockModels.TrainingField1.Field4</t>
  </si>
  <si>
    <t>BlockModels.TrainingField1.Field3</t>
  </si>
  <si>
    <t>BlockModels.TrainingField1.Field2</t>
  </si>
  <si>
    <t>BlockModels.TrainingField1.Field1</t>
  </si>
  <si>
    <t>BlockModels.TrainingField1.Field0</t>
  </si>
  <si>
    <t>BlockModels.TrainingField2.Field4</t>
  </si>
  <si>
    <t>BlockModels.TrainingField2.Field3</t>
  </si>
  <si>
    <t>BlockModels.TrainingField2.Field2</t>
  </si>
  <si>
    <t>BlockModels.TrainingField2.Field1</t>
  </si>
  <si>
    <t>BlockModels.TrainingField3.Field4</t>
  </si>
  <si>
    <t>BlockModels.TrainingField3.Field3</t>
  </si>
  <si>
    <t>BlockModels.TrainingField3.Field2</t>
  </si>
  <si>
    <t>BlockModels.TrainingField3.Field1</t>
  </si>
  <si>
    <t>BlockModels.TrainingField4.Field4</t>
  </si>
  <si>
    <t>BlockModels.TrainingField4.Field3</t>
  </si>
  <si>
    <t>BlockModels.TrainingField4.Field2</t>
  </si>
  <si>
    <t>BlockModels.TrainingField4.Field1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</si>
  <si>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</si>
  <si>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</si>
  <si>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</si>
  <si>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</si>
  <si>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</si>
  <si>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</si>
  <si>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</si>
  <si>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</si>
  <si>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</si>
  <si>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</si>
  <si>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</si>
  <si>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</si>
  <si>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</si>
  <si>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</si>
  <si>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</si>
  <si>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</si>
  <si>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</si>
  <si>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</si>
  <si>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</si>
  <si>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</si>
  <si>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</si>
  <si>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</si>
  <si>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</si>
  <si>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</si>
  <si>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</si>
  <si>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</si>
  <si>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</si>
  <si>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</si>
  <si>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</si>
  <si>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</si>
  <si>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</si>
  <si>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</si>
  <si>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</si>
  <si>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</si>
  <si>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</si>
  <si>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</si>
  <si>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</si>
  <si>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</si>
  <si>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</si>
  <si>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</si>
  <si>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</si>
  <si>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</si>
  <si>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</si>
  <si>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</si>
  <si>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</si>
  <si>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</si>
  <si>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</si>
  <si>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</si>
  <si>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</si>
  <si>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</si>
  <si>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</si>
  <si>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</si>
  <si>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</si>
  <si>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</si>
  <si>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</si>
  <si>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</si>
  <si>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</si>
  <si>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</si>
  <si>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</si>
  <si>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</si>
  <si>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</si>
  <si>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</si>
  <si>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</si>
  <si>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</si>
  <si>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</si>
  <si>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</si>
  <si>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</si>
  <si>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</si>
  <si>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</si>
  <si>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</si>
  <si>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</si>
  <si>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</si>
  <si>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</si>
  <si>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</si>
  <si>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</si>
  <si>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</si>
  <si>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</si>
  <si>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</si>
  <si>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</si>
  <si>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</si>
  <si>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</si>
  <si>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</si>
  <si>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</si>
  <si>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</si>
  <si>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</si>
  <si>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</si>
  <si>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</si>
  <si>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</si>
  <si>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</si>
  <si>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</si>
  <si>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</si>
  <si>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</si>
  <si>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</si>
  <si>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</si>
  <si>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</si>
  <si>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</si>
  <si>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</si>
  <si>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</si>
  <si>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</si>
  <si>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</si>
  <si>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</si>
  <si>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</si>
  <si>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</si>
  <si>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</si>
  <si>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</si>
  <si>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</si>
  <si>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</si>
  <si>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</si>
  <si>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</si>
  <si>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</si>
  <si>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</si>
  <si>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</si>
  <si>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</si>
  <si>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</si>
  <si>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</si>
  <si>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</si>
  <si>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</si>
  <si>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</si>
  <si>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</si>
  <si>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</si>
  <si>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</si>
  <si>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</si>
  <si>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</si>
  <si>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</si>
  <si>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</si>
  <si>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</si>
  <si>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</si>
  <si>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</si>
  <si>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</si>
  <si>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</si>
  <si>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</si>
  <si>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</si>
  <si>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</si>
  <si>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</si>
  <si>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</si>
  <si>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</si>
  <si>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</si>
  <si>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</si>
  <si>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</si>
  <si>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</si>
  <si>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</si>
  <si>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</si>
  <si>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</si>
  <si>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</si>
  <si>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</si>
  <si>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</si>
  <si>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</si>
  <si>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</si>
  <si>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</si>
  <si>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</si>
  <si>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</si>
  <si>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</si>
  <si>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</si>
  <si>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</si>
  <si>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</si>
  <si>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</si>
  <si>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</si>
  <si>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</si>
  <si>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</si>
  <si>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</si>
  <si>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</si>
  <si>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</si>
  <si>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</si>
  <si>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</si>
  <si>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</si>
  <si>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</si>
  <si>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</si>
  <si>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</si>
  <si>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</si>
  <si>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</si>
  <si>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</si>
  <si>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</si>
  <si>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</si>
  <si>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</si>
  <si>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</si>
  <si>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</si>
  <si>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</si>
  <si>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</si>
  <si>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</si>
  <si>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</si>
  <si>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</si>
  <si>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</si>
  <si>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</si>
  <si>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</si>
  <si>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</si>
  <si>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</si>
  <si>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</si>
  <si>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</si>
  <si>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</si>
  <si>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</si>
  <si>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</si>
  <si>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</si>
  <si>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</si>
  <si>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</si>
  <si>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</si>
  <si>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</si>
  <si>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</si>
  <si>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</si>
  <si>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</si>
  <si>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</si>
  <si>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</si>
  <si>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</si>
  <si>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</si>
  <si>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</si>
  <si>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</si>
  <si>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</si>
  <si>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</si>
  <si>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</si>
  <si>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</si>
  <si>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</si>
  <si>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</si>
  <si>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</si>
  <si>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</si>
  <si>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</si>
  <si>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</si>
  <si>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</si>
  <si>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</si>
  <si>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</si>
  <si>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</si>
  <si>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</si>
  <si>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</si>
  <si>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</si>
  <si>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</si>
  <si>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</si>
  <si>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</si>
  <si>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</si>
  <si>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</si>
  <si>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</si>
  <si>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</si>
  <si>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</si>
  <si>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</si>
  <si>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</si>
  <si>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</si>
  <si>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</si>
  <si>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</si>
  <si>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</si>
  <si>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</si>
  <si>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</si>
  <si>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</si>
  <si>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</si>
  <si>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</si>
  <si>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</si>
  <si>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</si>
  <si>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</si>
  <si>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</si>
  <si>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</si>
  <si>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</si>
  <si>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</si>
  <si>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</si>
  <si>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</si>
  <si>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</si>
  <si>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</si>
  <si>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</si>
  <si>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</si>
  <si>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</si>
  <si>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</si>
  <si>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</si>
  <si>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</si>
  <si>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</si>
  <si>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</si>
  <si>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</si>
  <si>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</si>
  <si>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</si>
  <si>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</si>
  <si>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</si>
  <si>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</si>
  <si>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</si>
  <si>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</si>
  <si>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</si>
  <si>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</si>
  <si>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</si>
  <si>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</si>
  <si>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</si>
  <si>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</si>
  <si>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</si>
  <si>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</si>
  <si>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</si>
  <si>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</si>
  <si>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</si>
  <si>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</si>
  <si>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</si>
  <si>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</si>
  <si>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</si>
  <si>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</si>
  <si>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</si>
  <si>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</si>
  <si>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</si>
  <si>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</si>
  <si>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</si>
  <si>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</si>
  <si>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</si>
  <si>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</si>
  <si>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</si>
  <si>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</si>
  <si>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</si>
  <si>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</si>
  <si>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</si>
  <si>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</si>
  <si>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</si>
  <si>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</si>
  <si>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</si>
  <si>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</si>
  <si>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</si>
  <si>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</si>
  <si>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</si>
  <si>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</si>
  <si>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</si>
  <si>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</si>
  <si>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</si>
  <si>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</si>
  <si>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</si>
  <si>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</si>
  <si>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</si>
  <si>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</si>
  <si>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</si>
  <si>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</si>
  <si>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</si>
  <si>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</si>
  <si>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</si>
  <si>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</si>
  <si>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</si>
  <si>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</si>
  <si>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</si>
  <si>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</si>
  <si>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</si>
  <si>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</si>
  <si>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</si>
  <si>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</si>
  <si>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</si>
  <si>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</si>
  <si>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</si>
  <si>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</si>
  <si>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</si>
  <si>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</si>
  <si>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</si>
  <si>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</si>
  <si>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</si>
  <si>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</si>
  <si>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</si>
  <si>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</si>
  <si>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</si>
  <si>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</si>
  <si>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</si>
  <si>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</si>
  <si>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</si>
  <si>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</si>
  <si>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</si>
  <si>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</si>
  <si>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</si>
  <si>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</si>
  <si>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</si>
  <si>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</si>
  <si>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</si>
  <si>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</si>
  <si>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</si>
  <si>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</si>
  <si>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</si>
  <si>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</si>
  <si>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</si>
  <si>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</si>
  <si>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</si>
  <si>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</si>
  <si>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</si>
  <si>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</si>
  <si>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</si>
  <si>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</si>
  <si>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</si>
  <si>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</si>
  <si>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</si>
  <si>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</si>
  <si>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</si>
  <si>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</si>
  <si>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</si>
  <si>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</si>
  <si>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</si>
  <si>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</si>
  <si>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</si>
  <si>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</si>
  <si>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</si>
  <si>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</si>
  <si>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</si>
  <si>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</si>
  <si>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</si>
  <si>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</si>
  <si>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</si>
  <si>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</si>
  <si>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</si>
  <si>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贴图</t>
  </si>
  <si>
    <t>SlicerId</t>
  </si>
  <si>
    <t>Price</t>
  </si>
  <si>
    <t>Img</t>
  </si>
  <si>
    <t>ModelId</t>
  </si>
  <si>
    <t>TextureId</t>
  </si>
  <si>
    <t>荒木战棍</t>
  </si>
  <si>
    <t>sandboxId://Model/Slicer/Png/01_WildwoodWarclub.png</t>
  </si>
  <si>
    <t>sandboxId://Model/Slicer/Model/01_WildwoodWarclub/WildwoodWarclub.obj</t>
  </si>
  <si>
    <t>sandboxId://Model/Slicer/Model/01_WildwoodWarclub/WildwoodWarclub.png</t>
  </si>
  <si>
    <t>铁木战斧</t>
  </si>
  <si>
    <t>sandboxId://Model/Slicer/Png/02_IronwoodBattleaxe.png</t>
  </si>
  <si>
    <t>sandboxId://Model/Slicer/Model/02_IronwoodBattleaxe/IronwoodBattleaxe.obj</t>
  </si>
  <si>
    <t>sandboxId://Model/Slicer/Model/02_IronwoodBattleaxe/IronwoodBattleaxe.png</t>
  </si>
  <si>
    <t>霜钢剑</t>
  </si>
  <si>
    <t>sandboxId://Model/Slicer/Png/03_FroststeelSword.png</t>
  </si>
  <si>
    <t>sandboxId://Model/Slicer/Model/03_FroststeelSword/FroststeelSword.obj</t>
  </si>
  <si>
    <t>sandboxId://Model/Slicer/Model/03_FroststeelSword/FroststeelSword.png</t>
  </si>
  <si>
    <t>黑曜石手斧</t>
  </si>
  <si>
    <t>sandboxId://Model/Slicer/Png/04_ObsidianHandAxe.png</t>
  </si>
  <si>
    <t>sandboxId://Model/Slicer/Model/04_ObsidianHandAxe/ObsidianHandAxe.obj</t>
  </si>
  <si>
    <t>sandboxId://Model/Slicer/Model/04_ObsidianHandAxe/ObsidianHandAxe.png</t>
  </si>
  <si>
    <t>绯红晶格法杖</t>
  </si>
  <si>
    <t>3.50e+4</t>
  </si>
  <si>
    <t>1.90e+4</t>
  </si>
  <si>
    <t>sandboxId://Model/Slicer/Png/05_CrimsonLatticeStaff.png</t>
  </si>
  <si>
    <t>sandboxId://Model/Slicer/Model/05_CrimsonLatticeStaff/CrimsonLatticeStaff.obj</t>
  </si>
  <si>
    <t>sandboxId://Model/Slicer/Model/05_CrimsonLatticeStaff/CrimsonLatticeStaff.png</t>
  </si>
  <si>
    <t>夜影战斧</t>
  </si>
  <si>
    <t>2.53e+5</t>
  </si>
  <si>
    <t>9.55e+4</t>
  </si>
  <si>
    <t>sandboxId://Model/Slicer/Png/06_NightshadeWarAxe.png</t>
  </si>
  <si>
    <t>sandboxId://Model/Slicer/Model/06_NightshadeWarAxe/NightshadeWarAxe.obj</t>
  </si>
  <si>
    <t>sandboxId://Model/Slicer/Model/06_NightshadeWarAxe/NightshadeWarAxe.png</t>
  </si>
  <si>
    <t>符文战锤</t>
  </si>
  <si>
    <t>1.89e+6</t>
  </si>
  <si>
    <t>4.42e+5</t>
  </si>
  <si>
    <t>sandboxId://Model/Slicer/Png/07_RuneboundWarhammer.png</t>
  </si>
  <si>
    <t>sandboxId://Model/Slicer/Model/07_RuneboundWarhammer/RuneboundWarhammer.obj</t>
  </si>
  <si>
    <t>sandboxId://Model/Slicer/Model/07_RuneboundWarhammer/RuneboundWarhammer.png</t>
  </si>
  <si>
    <t>暗角钉头锤</t>
  </si>
  <si>
    <t>1.22e+7</t>
  </si>
  <si>
    <t>1.93e+6</t>
  </si>
  <si>
    <t>sandboxId://Model/Slicer/Png/08_DarkhornMace.png</t>
  </si>
  <si>
    <t>sandboxId://Model/Slicer/Model/08_DarkhornMace/DarkhornMace.obj</t>
  </si>
  <si>
    <t>sandboxId://Model/Slicer/Model/08_DarkhornMace/DarkhornMace.png</t>
  </si>
  <si>
    <t>白银匕首</t>
  </si>
  <si>
    <t>7.62e+7</t>
  </si>
  <si>
    <t>8.10e+6</t>
  </si>
  <si>
    <t>sandboxId://Model/Slicer/Png/09_SilverDagger.png</t>
  </si>
  <si>
    <t>sandboxId://Model/Slicer/Model/09_SilverDagger/SilverDagger.obj</t>
  </si>
  <si>
    <t>sandboxId://Model/Slicer/Model/09_SilverDagger/SilverDagger.png</t>
  </si>
  <si>
    <t>金辉日刃</t>
  </si>
  <si>
    <t>4.65e+8</t>
  </si>
  <si>
    <t>3.31e+7</t>
  </si>
  <si>
    <t>sandboxId://Model/Slicer/Png/10_AuricSunblade.png</t>
  </si>
  <si>
    <t>sandboxId://Model/Slicer/Model/10_AuricSunblade/AuricSunblade.obj</t>
  </si>
  <si>
    <t>sandboxId://Model/Slicer/Model/10_AuricSunblade/AuricSunblade.png</t>
  </si>
  <si>
    <t>星界霜刃</t>
  </si>
  <si>
    <t>2.78e+9</t>
  </si>
  <si>
    <t>1.33e+8</t>
  </si>
  <si>
    <t>sandboxId://Model/Slicer/Png/11_AstralFrostblade.png</t>
  </si>
  <si>
    <t>sandboxId://Model/Slicer/Model/11_AstralFrostblade/AstralFrostblade.obj</t>
  </si>
  <si>
    <t>sandboxId://Model/Slicer/Model/11_AstralFrostblade/AstralFrostblade.png</t>
  </si>
  <si>
    <t>炼狱弯刀</t>
  </si>
  <si>
    <t>1.64e+10</t>
  </si>
  <si>
    <t>5.25e+8</t>
  </si>
  <si>
    <t>sandboxId://Model/Slicer/Png/12_InfernalScimitar.png</t>
  </si>
  <si>
    <t>sandboxId://Model/Slicer/Model/12_InfernalScimitar/InfernalScimitar.obj</t>
  </si>
  <si>
    <t>sandboxId://Model/Slicer/Model/12_InfernalScimitar/InfernalScimitar.png</t>
  </si>
  <si>
    <t>翠毒刃</t>
  </si>
  <si>
    <t>9.55e+10</t>
  </si>
  <si>
    <t>2.05e+9</t>
  </si>
  <si>
    <t>sandboxId://Model/Slicer/Png/13_VerdantVenomblade.png</t>
  </si>
  <si>
    <t>sandboxId://Model/Slicer/Model/13_VerdantVenomblade/VerdantVenomblade.obj</t>
  </si>
  <si>
    <t>sandboxId://Model/Slicer/Model/13_VerdantVenomblade/VerdantVenomblade.png</t>
  </si>
  <si>
    <t>翠绿三叉戟</t>
  </si>
  <si>
    <t>5.49e+11</t>
  </si>
  <si>
    <t>7.99e+9</t>
  </si>
  <si>
    <t>sandboxId://Model/Slicer/Png/14_VerdantTrident.png</t>
  </si>
  <si>
    <t>sandboxId://Model/Slicer/Model/14_VerdantTrident/VerdantTrident.obj</t>
  </si>
  <si>
    <t>sandboxId://Model/Slicer/Model/14_VerdantTrident/VerdantTrident.png</t>
  </si>
  <si>
    <t>紫晶碎星枪</t>
  </si>
  <si>
    <t>3.13e+12</t>
  </si>
  <si>
    <t>3.10e+10</t>
  </si>
  <si>
    <t>sandboxId://Model/Slicer/Png/15_AmethystStarbreakerSpear.png</t>
  </si>
  <si>
    <t>sandboxId://Model/Slicer/Model/15_AmethystStarbreakerSpear/AmethystStarbreakerSpear.obj</t>
  </si>
  <si>
    <t>sandboxId://Model/Slicer/Model/15_AmethystStarbreakerSpear/AmethystStarbreakerSpear.png</t>
  </si>
  <si>
    <t>霜晶巨剑</t>
  </si>
  <si>
    <t>1.77e+13</t>
  </si>
  <si>
    <t>1.20e+11</t>
  </si>
  <si>
    <t>sandboxId://Model/Slicer/Png/16_FrostcrystalGreatsword.png</t>
  </si>
  <si>
    <t>sandboxId://Model/Slicer/Model/16_FrostcrystalGreatsword/FrostcrystalGreatsword.obj</t>
  </si>
  <si>
    <t>sandboxId://Model/Slicer/Model/16_FrostcrystalGreatsword/FrostcrystalGreatsword.png</t>
  </si>
  <si>
    <t>熔岩裂地斧</t>
  </si>
  <si>
    <t>9.93e+13</t>
  </si>
  <si>
    <t>4.62e+11</t>
  </si>
  <si>
    <t>sandboxId://Model/Slicer/Png/17_MagmaEarthsplitter.png</t>
  </si>
  <si>
    <t>sandboxId://Model/Slicer/Model/17_MagmaEarthsplitter/MagmaEarthsplitter.obj</t>
  </si>
  <si>
    <t>sandboxId://Model/Slicer/Model/17_MagmaEarthsplitter/MagmaEarthsplitter.png</t>
  </si>
  <si>
    <t>烈焰之羽</t>
  </si>
  <si>
    <t>5.54e+14</t>
  </si>
  <si>
    <t>1.78e+12</t>
  </si>
  <si>
    <t>sandboxId://Model/Slicer/Png/18_FlamingFeather.png</t>
  </si>
  <si>
    <t>sandboxId://Model/Slicer/Model/18_FlamingFeather/FlamingFeather.obj</t>
  </si>
  <si>
    <t>sandboxId://Model/Slicer/Model/18_FlamingFeather/FlamingFeather.png</t>
  </si>
  <si>
    <t>耀阳权杖</t>
  </si>
  <si>
    <t>3.07e+15</t>
  </si>
  <si>
    <t>6.90e+12</t>
  </si>
  <si>
    <t>sandboxId://Model/Slicer/Png/19_SunburstScepter.png</t>
  </si>
  <si>
    <t>sandboxId://Model/Slicer/Model/19_SunburstScepter/SunburstScepter.obj</t>
  </si>
  <si>
    <t>sandboxId://Model/Slicer/Model/19_SunburstScepter/SunburstScepter.png</t>
  </si>
  <si>
    <t>辉光天翼剑</t>
  </si>
  <si>
    <t>1.69e+16</t>
  </si>
  <si>
    <t>2.67e+13</t>
  </si>
  <si>
    <t>sandboxId://Model/Slicer/Png/20_RadiantSkywingSword.png</t>
  </si>
  <si>
    <t>sandboxId://Model/Slicer/Model/20_RadiantSkywingSword/RadiantSkywingSword.obj</t>
  </si>
  <si>
    <t>sandboxId://Model/Slicer/Model/20_RadiantSkywingSword/RadiantSkywingSword.png</t>
  </si>
  <si>
    <t>凤凰翼剑</t>
  </si>
  <si>
    <t>9.30e+16</t>
  </si>
  <si>
    <t>1.04e+14</t>
  </si>
  <si>
    <t>sandboxId://Model/Slicer/Png/21_PhoenixwingSword.png</t>
  </si>
  <si>
    <t>sandboxId://Model/Slicer/Model/21_PhoenixwingSword/PhoenixwingSword.obj</t>
  </si>
  <si>
    <t>sandboxId://Model/Slicer/Model/21_PhoenixwingSword/PhoenixwingSword.png</t>
  </si>
  <si>
    <t>时轮齿刃</t>
  </si>
  <si>
    <t>5.08e+17</t>
  </si>
  <si>
    <t>4.03e+14</t>
  </si>
  <si>
    <t>sandboxId://Model/Slicer/Png/22_ChronoGearblade.png</t>
  </si>
  <si>
    <t>sandboxId://Model/Slicer/Model/22_ChronoGearblade/ChronoGearblade.obj</t>
  </si>
  <si>
    <t>sandboxId://Model/Slicer/Model/22_ChronoGearblade/ChronoGearblade.png</t>
  </si>
  <si>
    <t>裂魂镰刀</t>
  </si>
  <si>
    <t>2.77e+18</t>
  </si>
  <si>
    <t>1.57e+15</t>
  </si>
  <si>
    <t>sandboxId://Model/Slicer/Png/23_SoulrenderScythe.png</t>
  </si>
  <si>
    <t>sandboxId://Model/Slicer/Model/23_SoulrenderScythe/SoulrenderScythe.obj</t>
  </si>
  <si>
    <t>sandboxId://Model/Slicer/Model/23_SoulrenderScythe/SoulrenderScythe.png</t>
  </si>
  <si>
    <t>炼狱龙刃</t>
  </si>
  <si>
    <t>1.45e+19</t>
  </si>
  <si>
    <t>6.16e+15</t>
  </si>
  <si>
    <t>sandboxId://Model/Slicer/Png/24_InfernoDragonblade.png</t>
  </si>
  <si>
    <t>sandboxId://Model/Slicer/Model/24_InfernoDragonblade/InfernoDragonblade.obj</t>
  </si>
  <si>
    <t>sandboxId://Model/Slicer/Model/24_InfernoDragonblade/InfernoDragonblade.png</t>
  </si>
  <si>
    <t>虚空裂隙刃</t>
  </si>
  <si>
    <t>7.84e+19</t>
  </si>
  <si>
    <t>2.42e+16</t>
  </si>
  <si>
    <t>sandboxId://Model/Slicer/Png/25_VoidriftBlade.png</t>
  </si>
  <si>
    <t>sandboxId://Model/Slicer/Model/25_VoidriftBlade/VoidriftBlade.obj</t>
  </si>
  <si>
    <t>sandboxId://Model/Slicer/Model/25_VoidriftBlade/VoidriftBlade.png</t>
  </si>
  <si>
    <t>噬界魔刃</t>
  </si>
  <si>
    <t>4.23e+20</t>
  </si>
  <si>
    <t>9.54e+16</t>
  </si>
  <si>
    <t>sandboxId://Model/Slicer/Png/26_WorldeaterDemonblade.png</t>
  </si>
  <si>
    <t>sandboxId://Model/Slicer/Model/26_WorldeaterDemonblade/WorldeaterDemonblade.obj</t>
  </si>
  <si>
    <t>sandboxId://Model/Slicer/Model/26_WorldeaterDemonblade/WorldeaterDemonblade.png</t>
  </si>
  <si>
    <t>赤影刃</t>
  </si>
  <si>
    <t>2.28e+21</t>
  </si>
  <si>
    <t>1.50e+17</t>
  </si>
  <si>
    <t>sandboxId://Model/ExtraSlicer/Png/27Wp_Ansi.png</t>
  </si>
  <si>
    <t>sandboxId://Model/ExtraSlicer/Model/27Wp_Ansi_01.obj</t>
  </si>
  <si>
    <t>sandboxId://Model/ExtraSlicer/Maps/27Wp_Ansi_01.png</t>
  </si>
  <si>
    <t>星渊圣锋</t>
  </si>
  <si>
    <t>1.22e+22</t>
  </si>
  <si>
    <t>3.00e+17</t>
  </si>
  <si>
    <t>sandboxId://Model/ExtraSlicer/Png/028_Wp_Ml_Sword_004.png</t>
  </si>
  <si>
    <t>sandboxId://Model/ExtraSlicer/Model/028_Wp_Ml_Sword_004.obj</t>
  </si>
  <si>
    <t>sandboxId://Model/ExtraSlicer/Maps/028_Wp_Ml_Sword_004_D.png</t>
  </si>
  <si>
    <t>血月魔剑</t>
  </si>
  <si>
    <t>6.35e+22</t>
  </si>
  <si>
    <t>5.94e+17</t>
  </si>
  <si>
    <t>sandboxId://Model/ExtraSlicer/Png/029_Wp_Ml_Sword_003.png</t>
  </si>
  <si>
    <t>sandboxId://Model/ExtraSlicer/Model/029_Wp_Ml_Sword_003.obj</t>
  </si>
  <si>
    <t>sandboxId://Model/ExtraSlicer/Maps/029_Wp_Ml_Sword_003_D.png</t>
  </si>
  <si>
    <t>紫晶灾厄</t>
  </si>
  <si>
    <t>3.29e+23</t>
  </si>
  <si>
    <t>1.17e+18</t>
  </si>
  <si>
    <t>sandboxId://Model/ExtraSlicer/Png/030_Wp_Dt_Sword_003.png</t>
  </si>
  <si>
    <t>sandboxId://Model/ExtraSlicer/Model/030_Wp_Dt_Sword_003.obj</t>
  </si>
  <si>
    <t>sandboxId://Model/ExtraSlicer/Maps/030_Wp_Dt_Sword_003_D.png</t>
  </si>
  <si>
    <t>天穹裁决</t>
  </si>
  <si>
    <t>1.70e+24</t>
  </si>
  <si>
    <t>2.27e+18</t>
  </si>
  <si>
    <t>sandboxId://Model/ExtraSlicer/Png/031_Wp_Dt_Sword_004.png</t>
  </si>
  <si>
    <t>sandboxId://Model/ExtraSlicer/Model/031_Wp_Dt_Sword_004.obj</t>
  </si>
  <si>
    <t>sandboxId://Model/ExtraSlicer/Maps/031_Wp_Dt_Sword_004_D.png</t>
  </si>
  <si>
    <t>赤焰龙牙</t>
  </si>
  <si>
    <t>8.81e+24</t>
  </si>
  <si>
    <t>4.37e+18</t>
  </si>
  <si>
    <t>sandboxId://Model/ExtraSlicer/Png/032_Wp_Dt_Sword_001.png</t>
  </si>
  <si>
    <t>sandboxId://Model/ExtraSlicer/Model/032_Wp_Dt_Sword_001.obj</t>
  </si>
  <si>
    <t>sandboxId://Model/ExtraSlicer/Maps/032_Wp_Dt_Sword_001_D.png</t>
  </si>
  <si>
    <t>幽影月镰</t>
  </si>
  <si>
    <t>4.55e+25</t>
  </si>
  <si>
    <t>8.38e+18</t>
  </si>
  <si>
    <t>sandboxId://Model/ExtraSlicer/Png/033_Wp_Kris_Mn_DualBlades_01_1.png</t>
  </si>
  <si>
    <t>sandboxId://Model/ExtraSlicer/Model/033_Wp_Kris_Mn_DualBlades_01_1.obj</t>
  </si>
  <si>
    <t>sandboxId://Model/ExtraSlicer/Maps/033_Wp_Kris_Mn_DualBlades_01_1_D.png</t>
  </si>
  <si>
    <t>曜金帝剑</t>
  </si>
  <si>
    <t>2.35e+26</t>
  </si>
  <si>
    <t>1.59e+19</t>
  </si>
  <si>
    <t>sandboxId://Model/ExtraSlicer/Png/034_Wp_Cc_Sword_003.png</t>
  </si>
  <si>
    <t>sandboxId://Model/ExtraSlicer/Model/034_Wp_Cc_Sword_003.obj</t>
  </si>
  <si>
    <t>sandboxId://Model/ExtraSlicer/Maps/034_Wp_Cc_Sword_003_D.png</t>
  </si>
  <si>
    <t>苍蓝龙魂</t>
  </si>
  <si>
    <t>1.21e+27</t>
  </si>
  <si>
    <t>3.01e+19</t>
  </si>
  <si>
    <t>sandboxId://Model/ExtraSlicer/Png/035_Wp_Evan_Sword_01.png</t>
  </si>
  <si>
    <t>sandboxId://Model/ExtraSlicer/Model/035_Wp_Evan_Sword_01.obj</t>
  </si>
  <si>
    <t>sandboxId://Model/ExtraSlicer/Maps/035_Wp_Evan_Sword_01_D.png</t>
  </si>
  <si>
    <t>暮光巨刃</t>
  </si>
  <si>
    <t>6.23e+27</t>
  </si>
  <si>
    <t>5.66e+19</t>
  </si>
  <si>
    <t>sandboxId://Model/ExtraSlicer/Png/036_Wp_Kris_Mn_GreatSword_01.png</t>
  </si>
  <si>
    <t>sandboxId://Model/ExtraSlicer/Model/036_Wp_Kris_Mn_GreatSword_01.obj</t>
  </si>
  <si>
    <t>sandboxId://Model/ExtraSlicer/Maps/036_Wp_Kris_Mn_GreatSword_01_D.png</t>
  </si>
  <si>
    <t>血族王锋</t>
  </si>
  <si>
    <t>3.20e+28</t>
  </si>
  <si>
    <t>1.06e+20</t>
  </si>
  <si>
    <t>sandboxId://Model/ExtraSlicer/Png/037_WP_Boss_Vampire_01.png</t>
  </si>
  <si>
    <t>sandboxId://Model/ExtraSlicer/Model/037_WP_Boss_Vampire_01.obj</t>
  </si>
  <si>
    <t>sandboxId://Model/ExtraSlicer/Maps/037_WP_Boss_Vampire_01_D.png</t>
  </si>
  <si>
    <t>绯翼魔剑</t>
  </si>
  <si>
    <t>1.65e+29</t>
  </si>
  <si>
    <t>1.97e+20</t>
  </si>
  <si>
    <t>sandboxId://Model/ExtraSlicer/Png/038_Wp_Shane_Avatar_R.png</t>
  </si>
  <si>
    <t>sandboxId://Model/ExtraSlicer/Model/038_Wp_Shane_Avatar_R.obj</t>
  </si>
  <si>
    <t>sandboxId://Model/ExtraSlicer/Maps/038_Wp_Shane_Avatar_R_D.png</t>
  </si>
  <si>
    <t>灰烬锯刃</t>
  </si>
  <si>
    <t>8.19e+29</t>
  </si>
  <si>
    <t>3.64e+20</t>
  </si>
  <si>
    <t>sandboxId://Model/ExtraSlicer/Png/039_Wp_Serbinus_01.png</t>
  </si>
  <si>
    <t>sandboxId://Model/ExtraSlicer/Model/039_Wp_Serbinus_01.obj</t>
  </si>
  <si>
    <t>sandboxId://Model/ExtraSlicer/Maps/039_Wp_Serbinus_01_D.png</t>
  </si>
  <si>
    <t>断魂鬼剑</t>
  </si>
  <si>
    <t>4.20e+30</t>
  </si>
  <si>
    <t>6.71e+20</t>
  </si>
  <si>
    <t>sandboxId://Model/ExtraSlicer/Png/040_Wp_Shane_Ghost_Sword_01.png</t>
  </si>
  <si>
    <t>sandboxId://Model/ExtraSlicer/Model/040_Wp_Shane_Ghost_Sword_01.obj</t>
  </si>
  <si>
    <t>sandboxId://Model/ExtraSlicer/Maps/040_Wp_Shane_Ghost_Sword_01_D.png</t>
  </si>
  <si>
    <t>绯樱蛇影</t>
  </si>
  <si>
    <t>sandboxId://Model/ExtraSlicer/Png/041_Wp_Kagura_Mn_01.png</t>
  </si>
  <si>
    <t>sandboxId://Model/ExtraSlicer/Model/041_Wp_Kagura_Mn_01.obj</t>
  </si>
  <si>
    <t>sandboxId://Model/ExtraSlicer/Maps/041_Wp_Kagura_Mn_01_D.png</t>
  </si>
  <si>
    <t>黑曜裁决</t>
  </si>
  <si>
    <t>sandboxId://Model/ExtraSlicer/Png/042_Wp_oscar_dagger_02.png</t>
  </si>
  <si>
    <t>sandboxId://Model/ExtraSlicer/Model/042_Wp_oscar_dagger_02.obj</t>
  </si>
  <si>
    <t>sandboxId://Model/ExtraSlicer/Maps/042_Wp_oscar_dagger_02_D.png</t>
  </si>
  <si>
    <t>苍穹圣裁</t>
  </si>
  <si>
    <t>sandboxId://Model/ExtraSlicer/Png/043_Wp_GS_Sword_003.png</t>
  </si>
  <si>
    <t>sandboxId://Model/ExtraSlicer/Model/043_Wp_GS_Sword_003.obj</t>
  </si>
  <si>
    <t>sandboxId://Model/ExtraSlicer/Maps/043_Wp_GS_Sword_003_D.png</t>
  </si>
  <si>
    <t>天翼辉光</t>
  </si>
  <si>
    <t>sandboxId://Model/ExtraSlicer/Png/044_Wp_GS_Sword_004.png</t>
  </si>
  <si>
    <t>sandboxId://Model/ExtraSlicer/Model/044_Wp_GS_Sword_004.obj</t>
  </si>
  <si>
    <t>sandboxId://Model/ExtraSlicer/Maps/044_Wp_GS_Sword_004_D.png</t>
  </si>
  <si>
    <t>碧海云霄</t>
  </si>
  <si>
    <t>sandboxId://Model/ExtraSlicer/Png/045_Wp_Cc_Sword_002.png</t>
  </si>
  <si>
    <t>sandboxId://Model/ExtraSlicer/Model/045_Wp_Cc_Sword_002.obj</t>
  </si>
  <si>
    <t>sandboxId://Model/ExtraSlicer/Maps/045_Wp_Cc_Sword_002_D.png</t>
  </si>
  <si>
    <t>王权天谴</t>
  </si>
  <si>
    <t>sandboxId://Model/ExtraSlicer/Png/046_Wp_Rudy_Mn_BigSword_01.png</t>
  </si>
  <si>
    <t>sandboxId://Model/ExtraSlicer/Model/046_Wp_Rudy_Mn_BigSword_01.obj</t>
  </si>
  <si>
    <t>sandboxId://Model/ExtraSlicer/Maps/046_Wp_Rudy_Mn_BigSword_01_D.png</t>
  </si>
  <si>
    <t>寒渊狼牙</t>
  </si>
  <si>
    <t>sandboxId://Model/ExtraSlicer/Png/047_Wp_Teo_01.png</t>
  </si>
  <si>
    <t>sandboxId://Model/ExtraSlicer/Model/047_Wp_Teo_01.obj</t>
  </si>
  <si>
    <t>sandboxId://Model/ExtraSlicer/Maps/047_Wp_Teo_01_D.png</t>
  </si>
  <si>
    <t>熔狱断罪</t>
  </si>
  <si>
    <t>sandboxId://Model/ExtraSlicer/Png/048_Wp_ML_sword_003_R.png</t>
  </si>
  <si>
    <t>sandboxId://Model/ExtraSlicer/Model/048_Wp_ML_sword_003_R.obj</t>
  </si>
  <si>
    <t>sandboxId://Model/ExtraSlicer/Maps/048_Wp_ML_sword_003_R_D.png</t>
  </si>
  <si>
    <t>鸿运镇岳</t>
  </si>
  <si>
    <t>sandboxId://Model/ExtraSlicer/Png/049_Wp_Ml_Sword_002.png</t>
  </si>
  <si>
    <t>sandboxId://Model/ExtraSlicer/Model/049_Wp_Ml_Sword_002.obj</t>
  </si>
  <si>
    <t>sandboxId://Model/ExtraSlicer/Maps/049_Wp_Ml_Sword_002_D.png</t>
  </si>
  <si>
    <t>影月血牙</t>
  </si>
  <si>
    <t>sandboxId://Model/ExtraSlicer/Png/050_Wp_oscar_dagger_01.png</t>
  </si>
  <si>
    <t>sandboxId://Model/ExtraSlicer/Model/050_Wp_oscar_dagger_01.obj</t>
  </si>
  <si>
    <t>sandboxId://Model/ExtraSlicer/Maps/050_Wp_oscar_dagger_01_D.png</t>
  </si>
  <si>
    <t>幽冥锁刃</t>
  </si>
  <si>
    <t>sandboxId://Model/ExtraSlicer/Png/051_Wp_Shane_Ghost_Sword_Whip_01.png</t>
  </si>
  <si>
    <t>sandboxId://Model/ExtraSlicer/Model/051_Wp_Shane_Ghost_Sword_Whip_01.obj</t>
  </si>
  <si>
    <t>sandboxId://Model/ExtraSlicer/Maps/051_Wp_Shane_Ghost_Sword_Whip_01_D.png</t>
  </si>
  <si>
    <t>赤焰龙魂</t>
  </si>
  <si>
    <t>sandboxId://Model/ExtraSlicer/Png/052_Wp_Cc_Sword_004.png</t>
  </si>
  <si>
    <t>sandboxId://Model/ExtraSlicer/Model/052_Wp_Cc_Sword_004.obj</t>
  </si>
  <si>
    <t>sandboxId://Model/ExtraSlicer/Maps/052_Wp_Cc_Sword_004_D.png</t>
  </si>
  <si>
    <t>曜金赤锋</t>
  </si>
  <si>
    <t>sandboxId://Model/ExtraSlicer/Png/053_Wp_oscar_01.png</t>
  </si>
  <si>
    <t>sandboxId://Model/ExtraSlicer/Model/053_Wp_oscar_01.obj</t>
  </si>
  <si>
    <t>sandboxId://Model/ExtraSlicer/Maps/053_Wp_oscar_01_D.png</t>
  </si>
  <si>
    <t>图片ID</t>
  </si>
  <si>
    <t>TrailId</t>
  </si>
  <si>
    <t>1星拖尾</t>
  </si>
  <si>
    <t>Effects.Trail1</t>
  </si>
  <si>
    <t>sandboxId://UI/Icon/Trail/Trail1Img.png</t>
  </si>
  <si>
    <t>2星拖尾</t>
  </si>
  <si>
    <t>1.38e+6</t>
  </si>
  <si>
    <t>Effects.Trail2</t>
  </si>
  <si>
    <t>sandboxId://UI/Icon/Trail/Trail2Img.png</t>
  </si>
  <si>
    <t>3星拖尾</t>
  </si>
  <si>
    <t>3.32e+8</t>
  </si>
  <si>
    <t>Effects.Trail3</t>
  </si>
  <si>
    <t>sandboxId://UI/Icon/Trail/Trail3Img.png</t>
  </si>
  <si>
    <t>4星拖尾</t>
  </si>
  <si>
    <t>7.30e+10</t>
  </si>
  <si>
    <t>Effects.Trail4</t>
  </si>
  <si>
    <t>sandboxId://UI/Icon/Trail/Trail4Img.png</t>
  </si>
  <si>
    <t>5星拖尾</t>
  </si>
  <si>
    <t>1.42e+13</t>
  </si>
  <si>
    <t>Effects.Trail5</t>
  </si>
  <si>
    <t>sandboxId://UI/Icon/Trail/Trail5Img.png</t>
  </si>
  <si>
    <t>6星拖尾</t>
  </si>
  <si>
    <t>2.67e+15</t>
  </si>
  <si>
    <t>Effects.Trail6</t>
  </si>
  <si>
    <t>sandboxId://UI/Icon/Trail/Trail6Img.png</t>
  </si>
  <si>
    <t>7星拖尾</t>
  </si>
  <si>
    <t>4.69e+17</t>
  </si>
  <si>
    <t>Effects.Trail7</t>
  </si>
  <si>
    <t>sandboxId://UI/Icon/Trail/Trail7Img.png</t>
  </si>
  <si>
    <t>8星拖尾</t>
  </si>
  <si>
    <t>7.56e+19</t>
  </si>
  <si>
    <t>Effects.Trail8</t>
  </si>
  <si>
    <t>sandboxId://UI/Icon/Trail/Trail8Img.png</t>
  </si>
  <si>
    <t>9星拖尾</t>
  </si>
  <si>
    <t>1.18e+22</t>
  </si>
  <si>
    <t>Effects.Trail9</t>
  </si>
  <si>
    <t>sandboxId://UI/Icon/Trail/Trail9Img.png</t>
  </si>
  <si>
    <t>10星拖尾</t>
  </si>
  <si>
    <t>1.65e+24</t>
  </si>
  <si>
    <t>Effects.Trail10</t>
  </si>
  <si>
    <t>sandboxId://UI/Icon/Trail/Trail10Img.png</t>
  </si>
  <si>
    <t>11星拖尾</t>
  </si>
  <si>
    <t>2.27e+26</t>
  </si>
  <si>
    <t>Effects.Trail11</t>
  </si>
  <si>
    <t>sandboxId://UI/Icon/Trail/Trail11Img.png</t>
  </si>
  <si>
    <t>12星拖尾</t>
  </si>
  <si>
    <t>3.00e+28</t>
  </si>
  <si>
    <t>Effects.Trail12</t>
  </si>
  <si>
    <t>sandboxId://UI/Icon/Trail/Trail12Img.png</t>
  </si>
  <si>
    <t>13星拖尾</t>
  </si>
  <si>
    <t>2.23e+31</t>
  </si>
  <si>
    <t>Effects.Trail13</t>
  </si>
  <si>
    <t>sandboxId://UI/Icon/Trail/Trail13Img.png</t>
  </si>
  <si>
    <t>14星拖尾</t>
  </si>
  <si>
    <t>3.29e+33</t>
  </si>
  <si>
    <t>Effects.Trail14</t>
  </si>
  <si>
    <t>sandboxId://UI/Icon/Trail/Trail14Img.png</t>
  </si>
  <si>
    <t>15星拖尾</t>
  </si>
  <si>
    <t>4.78e+35</t>
  </si>
  <si>
    <t>Effects.Trail15</t>
  </si>
  <si>
    <t>sandboxId://UI/Icon/Trail/Trail15Img.png</t>
  </si>
  <si>
    <t>16星拖尾</t>
  </si>
  <si>
    <t>6.72e+37</t>
  </si>
  <si>
    <t>Effects.Trail16</t>
  </si>
  <si>
    <t>sandboxId://UI/Icon/Trail/Trail16Img.png</t>
  </si>
  <si>
    <t>17星拖尾</t>
  </si>
  <si>
    <t>9.61e+39</t>
  </si>
  <si>
    <t>Effects.Trail17</t>
  </si>
  <si>
    <t>sandboxId://UI/Icon/Trail/Trail17Img.png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</si>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</sst>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10"/>
      <color theme="1"/>
      <name val="Arial Unicode M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Alignment="1">
      <alignment horizontal="fill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2" fillId="0" borderId="0" xfId="6">
      <alignment vertical="center"/>
    </xf>
    <xf numFmtId="0" fontId="11" fillId="0" borderId="0" xfId="6" applyFont="1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A5" sqref="$A5:$XFD5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</row>
    <row r="2" spans="1:6">
      <c r="A2" s="22" t="s">
        <v>6</v>
      </c>
      <c r="B2" s="22" t="s">
        <v>7</v>
      </c>
      <c r="C2" s="22" t="s">
        <v>8</v>
      </c>
      <c r="D2" s="22" t="s">
        <v>9</v>
      </c>
      <c r="E2" s="23" t="s">
        <v>6</v>
      </c>
      <c r="F2" s="22" t="s">
        <v>10</v>
      </c>
    </row>
    <row r="3" customFormat="1" ht="26" customHeight="1" spans="1:6">
      <c r="A3" s="22" t="s">
        <v>11</v>
      </c>
      <c r="B3" s="22" t="s">
        <v>7</v>
      </c>
      <c r="C3" s="22" t="s">
        <v>12</v>
      </c>
      <c r="D3" s="22" t="s">
        <v>13</v>
      </c>
      <c r="E3" s="24" t="s">
        <v>11</v>
      </c>
      <c r="F3" s="22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5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5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5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6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5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5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6" t="s">
        <v>25</v>
      </c>
      <c r="F10" t="s">
        <v>27</v>
      </c>
    </row>
  </sheetData>
  <hyperlinks>
    <hyperlink ref="E2" location="CommonConfig!A1" display="CommonConfig"/>
    <hyperlink ref="E4" location="SlicerConfig!A1" display="SlicerConfig"/>
    <hyperlink ref="E6" location="TrailConfig!A1" display="Trail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workbookViewId="0">
      <selection activeCell="C9" sqref="C9"/>
    </sheetView>
  </sheetViews>
  <sheetFormatPr defaultColWidth="9" defaultRowHeight="16.5" outlineLevelCol="6"/>
  <cols>
    <col min="1" max="1" width="44.175" style="16" customWidth="1"/>
    <col min="2" max="2" width="71.3583333333333" style="16" customWidth="1"/>
    <col min="3" max="3" width="123.558333333333" style="16" customWidth="1"/>
    <col min="4" max="4" width="82.8666666666667" style="16" customWidth="1"/>
    <col min="5" max="6" width="9" style="16"/>
    <col min="7" max="7" width="81.1833333333333" style="16" customWidth="1"/>
    <col min="8" max="16384" width="9" style="16"/>
  </cols>
  <sheetData>
    <row r="1" s="16" customFormat="1" ht="22.25" customHeight="1" spans="1:7">
      <c r="A1" s="17" t="s">
        <v>28</v>
      </c>
      <c r="B1" s="17" t="s">
        <v>29</v>
      </c>
      <c r="C1" s="17" t="s">
        <v>30</v>
      </c>
      <c r="D1" s="18" t="s">
        <v>31</v>
      </c>
      <c r="E1" s="17"/>
      <c r="F1" s="17"/>
      <c r="G1" s="17"/>
    </row>
    <row r="2" s="16" customFormat="1" ht="24.75" spans="1:7">
      <c r="B2" s="17"/>
      <c r="C2" s="17"/>
      <c r="D2" s="18"/>
      <c r="E2" s="17"/>
      <c r="F2" s="17"/>
      <c r="G2" s="17"/>
    </row>
    <row r="3" s="16" customFormat="1" ht="91" customHeight="1" spans="1:7">
      <c r="A3" s="17" t="s">
        <v>32</v>
      </c>
      <c r="B3" s="17" t="s">
        <v>33</v>
      </c>
      <c r="C3" s="17" t="s">
        <v>34</v>
      </c>
      <c r="D3" s="18"/>
      <c r="E3" s="17"/>
      <c r="F3" s="17"/>
      <c r="G3" s="17"/>
    </row>
    <row r="4" s="16" customFormat="1" ht="60" customHeight="1" spans="1:7">
      <c r="A4" s="17" t="s">
        <v>32</v>
      </c>
      <c r="B4" s="17" t="s">
        <v>35</v>
      </c>
      <c r="C4" s="17" t="s">
        <v>36</v>
      </c>
      <c r="D4" s="18"/>
      <c r="E4" s="17"/>
      <c r="F4" s="17"/>
      <c r="G4" s="17"/>
    </row>
    <row r="5" s="16" customFormat="1" ht="60" customHeight="1" spans="1:7">
      <c r="A5" s="17" t="s">
        <v>37</v>
      </c>
      <c r="B5" s="17" t="s">
        <v>38</v>
      </c>
      <c r="C5" s="17">
        <v>10</v>
      </c>
      <c r="D5" s="18"/>
      <c r="E5" s="17"/>
      <c r="F5" s="17"/>
      <c r="G5" s="17"/>
    </row>
    <row r="6" s="16" customFormat="1" ht="60" customHeight="1" spans="1:7">
      <c r="A6" s="17" t="s">
        <v>32</v>
      </c>
      <c r="B6" s="17" t="s">
        <v>39</v>
      </c>
      <c r="C6" s="17" t="s">
        <v>34</v>
      </c>
      <c r="D6" s="18"/>
      <c r="E6" s="17"/>
      <c r="F6" s="17"/>
      <c r="G6" s="17"/>
    </row>
    <row r="7" s="16" customFormat="1" ht="24.75" spans="1:7">
      <c r="A7" s="19" t="s">
        <v>32</v>
      </c>
      <c r="B7" s="19" t="s">
        <v>40</v>
      </c>
      <c r="C7" s="19" t="s">
        <v>34</v>
      </c>
      <c r="D7" s="20"/>
      <c r="E7" s="20"/>
      <c r="F7" s="20"/>
      <c r="G7" s="20"/>
    </row>
    <row r="8" s="16" customFormat="1" ht="24.75" spans="1:7">
      <c r="A8" s="19" t="s">
        <v>32</v>
      </c>
      <c r="B8" s="19" t="s">
        <v>41</v>
      </c>
      <c r="C8" s="19" t="s">
        <v>42</v>
      </c>
      <c r="D8" s="20" t="s">
        <v>43</v>
      </c>
      <c r="E8" s="20"/>
      <c r="F8" s="20"/>
      <c r="G8" s="20"/>
    </row>
    <row r="9" s="16" customFormat="1" ht="24.75" spans="1:7">
      <c r="A9" s="19" t="s">
        <v>32</v>
      </c>
      <c r="B9" s="19" t="s">
        <v>21</v>
      </c>
      <c r="C9" s="19" t="s">
        <v>44</v>
      </c>
      <c r="D9" s="20" t="s">
        <v>45</v>
      </c>
      <c r="E9" s="20"/>
      <c r="F9" s="20"/>
      <c r="G9" s="20"/>
    </row>
    <row r="10" s="16" customFormat="1" ht="24.75" spans="1:7">
      <c r="A10" s="17" t="s">
        <v>32</v>
      </c>
      <c r="B10" s="17" t="s">
        <v>46</v>
      </c>
      <c r="C10" s="17" t="s">
        <v>47</v>
      </c>
      <c r="D10" s="18"/>
      <c r="E10" s="17"/>
      <c r="F10" s="17"/>
      <c r="G10" s="17"/>
    </row>
    <row r="11" s="16" customFormat="1" ht="24.75" spans="1:7">
      <c r="A11" s="17" t="s">
        <v>32</v>
      </c>
      <c r="B11" s="17" t="s">
        <v>48</v>
      </c>
      <c r="C11" s="17" t="s">
        <v>49</v>
      </c>
      <c r="D11" s="18"/>
      <c r="E11" s="17"/>
      <c r="F11" s="17"/>
      <c r="G11" s="17"/>
    </row>
    <row r="12" s="16" customFormat="1" ht="24.75" spans="1:7">
      <c r="A12" s="17" t="s">
        <v>32</v>
      </c>
      <c r="B12" s="17" t="s">
        <v>50</v>
      </c>
      <c r="C12" s="17" t="s">
        <v>51</v>
      </c>
      <c r="D12" s="18"/>
      <c r="E12" s="17"/>
      <c r="F12" s="17"/>
      <c r="G12" s="17"/>
    </row>
    <row r="13" s="16" customFormat="1" ht="24.75" spans="1:7">
      <c r="A13" s="17"/>
      <c r="B13" s="17"/>
      <c r="C13" s="21"/>
      <c r="D13" s="18"/>
      <c r="E13" s="18"/>
      <c r="F13" s="18"/>
      <c r="G13" s="18"/>
    </row>
    <row r="14" s="16" customFormat="1" ht="24.75" spans="1:7">
      <c r="A14" s="17"/>
      <c r="B14" s="17"/>
      <c r="C14" s="17"/>
      <c r="D14" s="18"/>
      <c r="E14" s="17"/>
      <c r="F14" s="17"/>
      <c r="G14" s="17"/>
    </row>
    <row r="15" s="16" customFormat="1" ht="24.75" spans="1:7">
      <c r="A15" s="17"/>
      <c r="B15" s="17"/>
      <c r="C15" s="17"/>
      <c r="D15" s="18"/>
      <c r="E15" s="17"/>
      <c r="F15" s="17"/>
      <c r="G15" s="17"/>
    </row>
    <row r="16" s="16" customFormat="1" ht="24.75" spans="1:7">
      <c r="B16" s="17"/>
      <c r="C16" s="17"/>
      <c r="D16" s="18"/>
      <c r="E16" s="17"/>
      <c r="F16" s="17"/>
      <c r="G16" s="17"/>
    </row>
    <row r="17" s="16" customFormat="1" ht="24.75" spans="1:7">
      <c r="A17" s="17"/>
      <c r="B17" s="17"/>
      <c r="C17" s="17"/>
      <c r="D17" s="18"/>
      <c r="E17" s="17"/>
      <c r="F17" s="17"/>
      <c r="G17" s="17"/>
    </row>
    <row r="18" s="16" customFormat="1" ht="24.75" spans="1:7">
      <c r="A18" s="17"/>
      <c r="B18" s="17"/>
      <c r="C18" s="17"/>
      <c r="D18" s="18"/>
      <c r="E18" s="17"/>
      <c r="F18" s="17"/>
      <c r="G18" s="17"/>
    </row>
    <row r="19" s="16" customFormat="1" ht="24.75" spans="1:7">
      <c r="B19" s="17"/>
      <c r="C19" s="17"/>
      <c r="D19" s="18"/>
      <c r="E19" s="17"/>
      <c r="F19" s="17"/>
      <c r="G19" s="17"/>
    </row>
    <row r="20" s="16" customFormat="1" ht="24.75" spans="1:7">
      <c r="B20" s="17"/>
      <c r="C20" s="17"/>
      <c r="D20" s="18"/>
      <c r="E20" s="17"/>
      <c r="F20" s="17"/>
      <c r="G20" s="17"/>
    </row>
    <row r="21" s="16" customFormat="1" ht="24.75" spans="1:7">
      <c r="B21" s="17"/>
      <c r="C21" s="17"/>
      <c r="D21" s="18"/>
      <c r="E21" s="17"/>
      <c r="F21" s="17"/>
      <c r="G21" s="17"/>
    </row>
    <row r="22" s="16" customFormat="1" ht="24.75" spans="1:7">
      <c r="B22" s="17"/>
      <c r="C22" s="17"/>
      <c r="D22" s="18"/>
      <c r="E22" s="17"/>
      <c r="F22" s="17"/>
      <c r="G22" s="17"/>
    </row>
    <row r="23" s="16" customFormat="1" ht="24.75" spans="1:7">
      <c r="B23" s="17"/>
      <c r="C23" s="17"/>
      <c r="D23" s="18"/>
      <c r="E23" s="17"/>
      <c r="F23" s="17"/>
      <c r="G23" s="17"/>
    </row>
    <row r="24" s="16" customFormat="1" ht="24.75" spans="1:7">
      <c r="B24" s="17"/>
      <c r="C24" s="17"/>
      <c r="D24" s="18"/>
      <c r="E24" s="17"/>
      <c r="F24" s="17"/>
      <c r="G24" s="17"/>
    </row>
    <row r="25" s="16" customFormat="1" ht="24.75" spans="1:7">
      <c r="B25" s="17"/>
      <c r="C25" s="17"/>
      <c r="D25" s="18"/>
      <c r="E25" s="17"/>
      <c r="F25" s="17"/>
      <c r="G25" s="17"/>
    </row>
    <row r="26" s="16" customFormat="1" ht="24.75" spans="1:7">
      <c r="B26" s="17"/>
      <c r="C26" s="17"/>
      <c r="D26" s="18"/>
      <c r="E26" s="17"/>
      <c r="F26" s="17"/>
      <c r="G26" s="17"/>
    </row>
    <row r="27" s="16" customFormat="1" ht="24.75" spans="1:7">
      <c r="C27" s="17"/>
      <c r="D27" s="18"/>
      <c r="E27" s="17"/>
      <c r="F27" s="17"/>
      <c r="G27" s="17"/>
    </row>
    <row r="28" s="16" customFormat="1" ht="24.75" spans="1:7">
      <c r="B28" s="17"/>
      <c r="C28" s="17"/>
      <c r="D28" s="18"/>
      <c r="E28" s="17"/>
      <c r="F28" s="17"/>
      <c r="G28" s="17"/>
    </row>
    <row r="29" s="16" customFormat="1" ht="24.75" spans="1:7">
      <c r="B29" s="17"/>
      <c r="C29" s="17"/>
      <c r="D29" s="18"/>
      <c r="E29" s="17"/>
      <c r="F29" s="17"/>
      <c r="G29" s="17"/>
    </row>
    <row r="30" s="16" customFormat="1" ht="24.75" spans="1:7">
      <c r="B30" s="17"/>
      <c r="C30" s="17"/>
      <c r="D30" s="18"/>
      <c r="E30" s="17"/>
      <c r="F30" s="17"/>
      <c r="G30" s="17"/>
    </row>
    <row r="31" s="16" customFormat="1" ht="24.75" spans="1:7">
      <c r="B31" s="17"/>
      <c r="C31" s="17"/>
      <c r="D31" s="18"/>
      <c r="E31" s="17"/>
      <c r="F31" s="17"/>
      <c r="G31" s="17"/>
    </row>
    <row r="32" s="16" customFormat="1" ht="24.75" spans="1:7">
      <c r="B32" s="17"/>
      <c r="C32" s="17"/>
      <c r="D32" s="18"/>
      <c r="E32" s="17"/>
      <c r="F32" s="17"/>
      <c r="G32" s="17"/>
    </row>
    <row r="33" s="16" customFormat="1" ht="24.75" spans="2:7">
      <c r="B33" s="17"/>
      <c r="C33" s="17"/>
      <c r="D33" s="18"/>
      <c r="E33" s="17"/>
      <c r="F33" s="17"/>
      <c r="G33" s="17"/>
    </row>
    <row r="34" s="16" customFormat="1" ht="24.75" spans="2:7">
      <c r="B34" s="17"/>
      <c r="C34" s="17"/>
      <c r="D34" s="18"/>
      <c r="E34" s="17"/>
      <c r="F34" s="17"/>
      <c r="G34" s="17"/>
    </row>
    <row r="35" s="16" customFormat="1" ht="24.75" spans="2:7">
      <c r="B35" s="17"/>
      <c r="C35" s="17"/>
      <c r="D35" s="18"/>
      <c r="E35" s="17"/>
      <c r="F35" s="17"/>
      <c r="G35" s="17"/>
    </row>
    <row r="36" s="16" customFormat="1" ht="24.75" spans="2:7">
      <c r="B36" s="17"/>
      <c r="C36" s="17"/>
      <c r="D36" s="18"/>
      <c r="E36" s="17"/>
      <c r="F36" s="17"/>
      <c r="G36" s="17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workbookViewId="0">
      <selection activeCell="A21" sqref="$A21:$XFD21"/>
    </sheetView>
  </sheetViews>
  <sheetFormatPr defaultColWidth="9" defaultRowHeight="13.5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</row>
    <row r="2" s="2" customFormat="1" ht="16.5" spans="1:5">
      <c r="A2" s="1" t="s">
        <v>13</v>
      </c>
      <c r="B2" s="1" t="s">
        <v>57</v>
      </c>
      <c r="C2" s="1" t="s">
        <v>58</v>
      </c>
      <c r="D2" s="1" t="s">
        <v>59</v>
      </c>
      <c r="E2" s="1" t="s">
        <v>60</v>
      </c>
    </row>
    <row r="3" s="2" customFormat="1" ht="16.5" spans="1:5">
      <c r="A3" s="1" t="s">
        <v>61</v>
      </c>
      <c r="B3" s="1" t="s">
        <v>62</v>
      </c>
      <c r="C3" s="1" t="s">
        <v>62</v>
      </c>
      <c r="D3" s="1" t="s">
        <v>61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63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64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65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66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67</v>
      </c>
    </row>
    <row r="9" s="2" customFormat="1" ht="16.5" spans="1:5">
      <c r="A9" s="1">
        <v>6</v>
      </c>
      <c r="B9" s="1">
        <v>15</v>
      </c>
      <c r="C9" s="1"/>
      <c r="D9" s="1">
        <v>20</v>
      </c>
      <c r="E9" s="1" t="s">
        <v>68</v>
      </c>
    </row>
    <row r="10" s="2" customFormat="1" ht="16.5" spans="1:5">
      <c r="A10" s="1">
        <v>7</v>
      </c>
      <c r="B10" s="1">
        <v>18</v>
      </c>
      <c r="C10" s="1"/>
      <c r="D10" s="1">
        <v>27</v>
      </c>
      <c r="E10" s="1" t="s">
        <v>69</v>
      </c>
    </row>
    <row r="11" ht="16.5" spans="1:5">
      <c r="A11" s="1">
        <v>8</v>
      </c>
      <c r="B11" s="1">
        <v>21</v>
      </c>
      <c r="C11" s="1"/>
      <c r="D11" s="1">
        <v>35</v>
      </c>
      <c r="E11" s="1" t="s">
        <v>70</v>
      </c>
    </row>
    <row r="12" ht="16.5" spans="1:5">
      <c r="A12" s="1">
        <v>9</v>
      </c>
      <c r="B12" s="1">
        <v>24</v>
      </c>
      <c r="C12" s="1"/>
      <c r="D12" s="1">
        <v>44</v>
      </c>
      <c r="E12" s="1" t="s">
        <v>71</v>
      </c>
    </row>
    <row r="13" ht="16.5" spans="1:5">
      <c r="A13" s="1">
        <v>10</v>
      </c>
      <c r="B13" s="1">
        <v>27</v>
      </c>
      <c r="C13" s="1"/>
      <c r="D13" s="1">
        <v>54</v>
      </c>
      <c r="E13" s="1" t="s">
        <v>72</v>
      </c>
    </row>
    <row r="14" ht="16.5" spans="1:5">
      <c r="A14" s="1">
        <v>11</v>
      </c>
      <c r="B14" s="1">
        <v>30</v>
      </c>
      <c r="C14" s="1"/>
      <c r="D14" s="1">
        <v>65</v>
      </c>
      <c r="E14" s="1" t="s">
        <v>73</v>
      </c>
    </row>
    <row r="15" ht="16.5" spans="1:5">
      <c r="A15" s="1">
        <v>12</v>
      </c>
      <c r="B15" s="1">
        <v>33</v>
      </c>
      <c r="C15" s="1"/>
      <c r="D15" s="1">
        <v>76</v>
      </c>
      <c r="E15" s="1" t="s">
        <v>74</v>
      </c>
    </row>
    <row r="16" ht="16.5" spans="1:5">
      <c r="A16" s="1">
        <v>13</v>
      </c>
      <c r="B16" s="1">
        <v>36</v>
      </c>
      <c r="C16" s="1"/>
      <c r="D16" s="1">
        <v>89</v>
      </c>
      <c r="E16" s="1" t="s">
        <v>75</v>
      </c>
    </row>
    <row r="17" ht="16.5" spans="1:5">
      <c r="A17" s="1">
        <v>14</v>
      </c>
      <c r="B17" s="1">
        <v>39</v>
      </c>
      <c r="D17" s="1">
        <v>103</v>
      </c>
      <c r="E17" s="1" t="s">
        <v>76</v>
      </c>
    </row>
    <row r="18" ht="16.5" spans="1:5">
      <c r="A18" s="1">
        <v>15</v>
      </c>
      <c r="B18" s="1">
        <v>42</v>
      </c>
      <c r="D18" s="1">
        <v>117</v>
      </c>
      <c r="E18" s="1" t="s">
        <v>77</v>
      </c>
    </row>
    <row r="19" ht="16.5" spans="1:5">
      <c r="A19" s="1">
        <v>16</v>
      </c>
      <c r="B19" s="1">
        <v>45</v>
      </c>
      <c r="D19" s="1">
        <v>132</v>
      </c>
      <c r="E19" s="1" t="s">
        <v>78</v>
      </c>
    </row>
    <row r="20" ht="16.5" spans="1:5">
      <c r="A20" s="1">
        <v>17</v>
      </c>
      <c r="B20" s="1">
        <v>48</v>
      </c>
      <c r="D20" s="1">
        <v>149</v>
      </c>
      <c r="E20" s="1" t="s">
        <v>79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4" customWidth="1"/>
    <col min="3" max="3" width="33.0833333333333" customWidth="1"/>
    <col min="4" max="5" width="40.4416666666667" customWidth="1"/>
  </cols>
  <sheetData>
    <row r="1" spans="1:5">
      <c r="A1" s="15" t="s">
        <v>52</v>
      </c>
      <c r="B1" s="15" t="s">
        <v>80</v>
      </c>
      <c r="C1" s="15" t="s">
        <v>81</v>
      </c>
      <c r="D1" s="15" t="s">
        <v>82</v>
      </c>
      <c r="E1" s="15" t="s">
        <v>83</v>
      </c>
    </row>
    <row r="2" spans="1:5">
      <c r="A2" s="15" t="s">
        <v>13</v>
      </c>
      <c r="B2" s="15" t="s">
        <v>84</v>
      </c>
      <c r="C2" s="15" t="s">
        <v>85</v>
      </c>
      <c r="D2" s="15" t="s">
        <v>86</v>
      </c>
      <c r="E2" s="15" t="s">
        <v>87</v>
      </c>
    </row>
    <row r="3" spans="1:5">
      <c r="A3" s="15" t="s">
        <v>61</v>
      </c>
      <c r="B3" s="15" t="s">
        <v>61</v>
      </c>
      <c r="C3" s="15" t="s">
        <v>62</v>
      </c>
      <c r="D3" s="15" t="s">
        <v>62</v>
      </c>
      <c r="E3" s="15" t="s">
        <v>88</v>
      </c>
    </row>
    <row r="4" spans="1:5">
      <c r="A4" s="15">
        <v>1</v>
      </c>
      <c r="B4" s="15">
        <v>1</v>
      </c>
      <c r="C4" s="15">
        <v>80</v>
      </c>
      <c r="D4" s="15">
        <v>3</v>
      </c>
      <c r="E4" s="15" t="s">
        <v>89</v>
      </c>
    </row>
    <row r="5" spans="1:5">
      <c r="A5" s="15">
        <v>2</v>
      </c>
      <c r="B5" s="15">
        <v>2</v>
      </c>
      <c r="C5" s="15">
        <v>4</v>
      </c>
      <c r="D5" s="15">
        <v>3</v>
      </c>
      <c r="E5" s="15" t="s">
        <v>89</v>
      </c>
    </row>
    <row r="6" spans="1:5">
      <c r="A6" s="15">
        <v>3</v>
      </c>
      <c r="B6" s="15">
        <v>3</v>
      </c>
      <c r="C6" s="15">
        <v>4</v>
      </c>
      <c r="D6" s="15">
        <v>3</v>
      </c>
      <c r="E6" s="15" t="s">
        <v>89</v>
      </c>
    </row>
    <row r="7" spans="1:5">
      <c r="A7" s="15">
        <v>4</v>
      </c>
      <c r="B7" s="15">
        <v>4</v>
      </c>
      <c r="C7" s="15">
        <v>4</v>
      </c>
      <c r="D7" s="15">
        <v>3</v>
      </c>
      <c r="E7" s="15" t="s">
        <v>89</v>
      </c>
    </row>
    <row r="8" spans="1:5">
      <c r="A8" s="15">
        <v>5</v>
      </c>
      <c r="B8" s="15">
        <v>5</v>
      </c>
      <c r="C8" s="15">
        <v>4</v>
      </c>
      <c r="D8" s="15">
        <v>3</v>
      </c>
      <c r="E8" s="15" t="s">
        <v>89</v>
      </c>
    </row>
    <row r="9" spans="1:5">
      <c r="A9" s="15">
        <v>6</v>
      </c>
      <c r="B9" s="15">
        <v>6</v>
      </c>
      <c r="C9" s="15">
        <v>4</v>
      </c>
      <c r="D9" s="15">
        <v>3</v>
      </c>
      <c r="E9" s="15" t="s">
        <v>89</v>
      </c>
    </row>
    <row r="10" spans="1:5">
      <c r="A10" s="15">
        <v>7</v>
      </c>
      <c r="B10" s="15">
        <v>7</v>
      </c>
      <c r="C10" s="15">
        <v>4</v>
      </c>
      <c r="D10" s="15">
        <v>3</v>
      </c>
      <c r="E10" s="15" t="s">
        <v>89</v>
      </c>
    </row>
    <row r="11" spans="1:5">
      <c r="A11" s="15">
        <v>8</v>
      </c>
      <c r="B11" s="15">
        <v>8</v>
      </c>
      <c r="C11" s="15">
        <v>4</v>
      </c>
      <c r="D11" s="15">
        <v>3</v>
      </c>
      <c r="E11" s="15" t="s">
        <v>89</v>
      </c>
    </row>
    <row r="12" spans="1:5">
      <c r="A12" s="15">
        <v>9</v>
      </c>
      <c r="B12" s="15">
        <v>9</v>
      </c>
      <c r="C12" s="15">
        <v>4</v>
      </c>
      <c r="D12" s="15">
        <v>3</v>
      </c>
      <c r="E12" s="15" t="s">
        <v>89</v>
      </c>
    </row>
    <row r="13" spans="1:5">
      <c r="A13" s="15">
        <v>10</v>
      </c>
      <c r="B13" s="15">
        <v>10</v>
      </c>
      <c r="C13" s="15">
        <v>4</v>
      </c>
      <c r="D13" s="15">
        <v>3</v>
      </c>
      <c r="E13" s="15" t="s">
        <v>89</v>
      </c>
    </row>
    <row r="14" spans="1:5">
      <c r="A14" s="15">
        <v>11</v>
      </c>
      <c r="B14" s="15">
        <v>11</v>
      </c>
      <c r="C14" s="15">
        <v>4</v>
      </c>
      <c r="D14" s="15">
        <v>3</v>
      </c>
      <c r="E14" s="15" t="s">
        <v>89</v>
      </c>
    </row>
    <row r="15" spans="1:5">
      <c r="A15" s="15">
        <v>12</v>
      </c>
      <c r="B15" s="15">
        <v>12</v>
      </c>
      <c r="C15" s="15">
        <v>4</v>
      </c>
      <c r="D15" s="15">
        <v>3</v>
      </c>
      <c r="E15" s="15" t="s">
        <v>89</v>
      </c>
    </row>
    <row r="16" spans="1:5">
      <c r="A16" s="15">
        <v>13</v>
      </c>
      <c r="B16" s="15">
        <v>13</v>
      </c>
      <c r="C16" s="15">
        <v>4</v>
      </c>
      <c r="D16" s="15">
        <v>3</v>
      </c>
      <c r="E16" s="15" t="s">
        <v>89</v>
      </c>
    </row>
    <row r="17" spans="1:5">
      <c r="A17" s="15">
        <v>14</v>
      </c>
      <c r="B17" s="15">
        <v>14</v>
      </c>
      <c r="C17" s="15">
        <v>4</v>
      </c>
      <c r="D17" s="15">
        <v>3</v>
      </c>
      <c r="E17" s="15" t="s">
        <v>89</v>
      </c>
    </row>
    <row r="18" spans="1:5">
      <c r="A18" s="15">
        <v>15</v>
      </c>
      <c r="B18" s="15">
        <v>15</v>
      </c>
      <c r="C18" s="15">
        <v>4</v>
      </c>
      <c r="D18" s="15">
        <v>3</v>
      </c>
      <c r="E18" s="15" t="s">
        <v>89</v>
      </c>
    </row>
    <row r="19" spans="1:5">
      <c r="A19" s="15">
        <v>16</v>
      </c>
      <c r="B19" s="15">
        <v>16</v>
      </c>
      <c r="C19" s="15">
        <v>4</v>
      </c>
      <c r="D19" s="15">
        <v>3</v>
      </c>
      <c r="E19" s="15" t="s">
        <v>89</v>
      </c>
    </row>
    <row r="20" spans="1:5">
      <c r="A20" s="15">
        <v>17</v>
      </c>
      <c r="B20" s="15">
        <v>17</v>
      </c>
      <c r="C20" s="15">
        <v>4</v>
      </c>
      <c r="D20" s="15">
        <v>3</v>
      </c>
      <c r="E20" s="15" t="s">
        <v>89</v>
      </c>
    </row>
    <row r="21" spans="1:5">
      <c r="A21" s="15">
        <v>18</v>
      </c>
      <c r="B21" s="15">
        <v>18</v>
      </c>
      <c r="C21" s="15">
        <v>4</v>
      </c>
      <c r="D21" s="15">
        <v>3</v>
      </c>
      <c r="E21" s="15" t="s">
        <v>89</v>
      </c>
    </row>
    <row r="22" spans="1:5">
      <c r="A22" s="15">
        <v>19</v>
      </c>
      <c r="B22" s="15">
        <v>19</v>
      </c>
      <c r="C22" s="15">
        <v>4</v>
      </c>
      <c r="D22" s="15">
        <v>3</v>
      </c>
      <c r="E22" s="15" t="s">
        <v>89</v>
      </c>
    </row>
    <row r="23" spans="1:5">
      <c r="A23" s="15">
        <v>20</v>
      </c>
      <c r="B23" s="15">
        <v>20</v>
      </c>
      <c r="C23" s="15">
        <v>4</v>
      </c>
      <c r="D23" s="15">
        <v>3</v>
      </c>
      <c r="E23" s="15" t="s">
        <v>89</v>
      </c>
    </row>
    <row r="24" spans="1:5">
      <c r="A24" s="15">
        <v>21</v>
      </c>
      <c r="B24" s="15">
        <v>21</v>
      </c>
      <c r="C24" s="15">
        <v>4</v>
      </c>
      <c r="D24" s="15">
        <v>3</v>
      </c>
      <c r="E24" s="15" t="s">
        <v>89</v>
      </c>
    </row>
    <row r="25" spans="1:5">
      <c r="A25" s="15">
        <v>22</v>
      </c>
      <c r="B25" s="15">
        <v>22</v>
      </c>
      <c r="C25" s="15">
        <v>4</v>
      </c>
      <c r="D25" s="15">
        <v>3</v>
      </c>
      <c r="E25" s="15" t="s">
        <v>89</v>
      </c>
    </row>
    <row r="26" spans="1:5">
      <c r="A26" s="15">
        <v>23</v>
      </c>
      <c r="B26" s="15">
        <v>23</v>
      </c>
      <c r="C26" s="15">
        <v>4</v>
      </c>
      <c r="D26" s="15">
        <v>3</v>
      </c>
      <c r="E26" s="15" t="s">
        <v>89</v>
      </c>
    </row>
    <row r="27" spans="1:5">
      <c r="A27" s="15">
        <v>24</v>
      </c>
      <c r="B27" s="15">
        <v>24</v>
      </c>
      <c r="C27" s="15">
        <v>4</v>
      </c>
      <c r="D27" s="15">
        <v>3</v>
      </c>
      <c r="E27" s="15" t="s">
        <v>89</v>
      </c>
    </row>
    <row r="28" spans="1:5">
      <c r="A28" s="15">
        <v>25</v>
      </c>
      <c r="B28" s="15">
        <v>25</v>
      </c>
      <c r="C28" s="15">
        <v>4</v>
      </c>
      <c r="D28" s="15">
        <v>3</v>
      </c>
      <c r="E28" s="15" t="s">
        <v>89</v>
      </c>
    </row>
    <row r="29" spans="1:5">
      <c r="A29" s="15">
        <v>26</v>
      </c>
      <c r="B29" s="15">
        <v>26</v>
      </c>
      <c r="C29" s="15">
        <v>4</v>
      </c>
      <c r="D29" s="15">
        <v>3</v>
      </c>
      <c r="E29" s="15" t="s">
        <v>89</v>
      </c>
    </row>
    <row r="30" spans="1:5">
      <c r="A30" s="15">
        <v>27</v>
      </c>
      <c r="B30" s="15">
        <v>27</v>
      </c>
      <c r="C30" s="15">
        <v>4</v>
      </c>
      <c r="D30" s="15">
        <v>3</v>
      </c>
      <c r="E30" s="15" t="s">
        <v>89</v>
      </c>
    </row>
    <row r="31" spans="1:5">
      <c r="A31" s="15">
        <v>28</v>
      </c>
      <c r="B31" s="15">
        <v>28</v>
      </c>
      <c r="C31" s="15">
        <v>4</v>
      </c>
      <c r="D31" s="15">
        <v>3</v>
      </c>
      <c r="E31" s="15" t="s">
        <v>89</v>
      </c>
    </row>
    <row r="32" spans="1:5">
      <c r="A32" s="15">
        <v>29</v>
      </c>
      <c r="B32" s="15">
        <v>29</v>
      </c>
      <c r="C32" s="15">
        <v>4</v>
      </c>
      <c r="D32" s="15">
        <v>3</v>
      </c>
      <c r="E32" s="15" t="s">
        <v>89</v>
      </c>
    </row>
    <row r="33" spans="1:5">
      <c r="A33" s="15">
        <v>30</v>
      </c>
      <c r="B33" s="15">
        <v>30</v>
      </c>
      <c r="C33" s="15">
        <v>4</v>
      </c>
      <c r="D33" s="15">
        <v>3</v>
      </c>
      <c r="E33" s="15" t="s">
        <v>89</v>
      </c>
    </row>
    <row r="34" spans="1:5">
      <c r="A34" s="15">
        <v>31</v>
      </c>
      <c r="B34" s="15">
        <v>31</v>
      </c>
      <c r="C34" s="15">
        <v>4</v>
      </c>
      <c r="D34" s="15">
        <v>3</v>
      </c>
      <c r="E34" s="15" t="s">
        <v>89</v>
      </c>
    </row>
    <row r="35" spans="1:5">
      <c r="A35" s="15">
        <v>32</v>
      </c>
      <c r="B35" s="15">
        <v>32</v>
      </c>
      <c r="C35" s="15">
        <v>4</v>
      </c>
      <c r="D35" s="15">
        <v>3</v>
      </c>
      <c r="E35" s="15" t="s">
        <v>89</v>
      </c>
    </row>
    <row r="36" spans="1:5">
      <c r="A36" s="15">
        <v>33</v>
      </c>
      <c r="B36" s="15">
        <v>33</v>
      </c>
      <c r="C36" s="15">
        <v>4</v>
      </c>
      <c r="D36" s="15">
        <v>3</v>
      </c>
      <c r="E36" s="15" t="s">
        <v>89</v>
      </c>
    </row>
    <row r="37" spans="1:5">
      <c r="A37" s="15">
        <v>34</v>
      </c>
      <c r="B37" s="15">
        <v>34</v>
      </c>
      <c r="C37" s="15">
        <v>4</v>
      </c>
      <c r="D37" s="15">
        <v>3</v>
      </c>
      <c r="E37" s="15" t="s">
        <v>89</v>
      </c>
    </row>
    <row r="38" spans="1:5">
      <c r="A38" s="15">
        <v>35</v>
      </c>
      <c r="B38" s="15">
        <v>35</v>
      </c>
      <c r="C38" s="15">
        <v>4</v>
      </c>
      <c r="D38" s="15">
        <v>3</v>
      </c>
      <c r="E38" s="15" t="s">
        <v>89</v>
      </c>
    </row>
    <row r="39" spans="1:5">
      <c r="A39" s="15">
        <v>36</v>
      </c>
      <c r="B39" s="15">
        <v>36</v>
      </c>
      <c r="C39" s="15">
        <v>4</v>
      </c>
      <c r="D39" s="15">
        <v>3</v>
      </c>
      <c r="E39" s="15" t="s">
        <v>89</v>
      </c>
    </row>
    <row r="40" spans="1:5">
      <c r="A40" s="15">
        <v>37</v>
      </c>
      <c r="B40" s="15">
        <v>37</v>
      </c>
      <c r="C40" s="15">
        <v>4</v>
      </c>
      <c r="D40" s="15">
        <v>3</v>
      </c>
      <c r="E40" s="15" t="s">
        <v>89</v>
      </c>
    </row>
    <row r="41" spans="1:5">
      <c r="A41" s="15">
        <v>38</v>
      </c>
      <c r="B41" s="15">
        <v>38</v>
      </c>
      <c r="C41" s="15">
        <v>4</v>
      </c>
      <c r="D41" s="15">
        <v>3</v>
      </c>
      <c r="E41" s="15" t="s">
        <v>89</v>
      </c>
    </row>
    <row r="42" spans="1:5">
      <c r="A42" s="15">
        <v>39</v>
      </c>
      <c r="B42" s="15">
        <v>39</v>
      </c>
      <c r="C42" s="15">
        <v>4</v>
      </c>
      <c r="D42" s="15">
        <v>3</v>
      </c>
      <c r="E42" s="15" t="s">
        <v>89</v>
      </c>
    </row>
    <row r="43" spans="1:5">
      <c r="A43" s="15">
        <v>40</v>
      </c>
      <c r="B43" s="15">
        <v>40</v>
      </c>
      <c r="C43" s="15">
        <v>4</v>
      </c>
      <c r="D43" s="15">
        <v>3</v>
      </c>
      <c r="E43" s="15" t="s">
        <v>89</v>
      </c>
    </row>
    <row r="44" spans="1:5">
      <c r="A44" s="15">
        <v>41</v>
      </c>
      <c r="B44" s="15">
        <v>41</v>
      </c>
      <c r="C44" s="15">
        <v>4</v>
      </c>
      <c r="D44" s="15">
        <v>3</v>
      </c>
      <c r="E44" s="15" t="s">
        <v>89</v>
      </c>
    </row>
    <row r="45" spans="1:5">
      <c r="A45" s="15">
        <v>42</v>
      </c>
      <c r="B45" s="15">
        <v>42</v>
      </c>
      <c r="C45" s="15">
        <v>4</v>
      </c>
      <c r="D45" s="15">
        <v>3</v>
      </c>
      <c r="E45" s="15" t="s">
        <v>89</v>
      </c>
    </row>
    <row r="46" spans="1:5">
      <c r="A46" s="15">
        <v>43</v>
      </c>
      <c r="B46" s="15">
        <v>43</v>
      </c>
      <c r="C46" s="15">
        <v>4</v>
      </c>
      <c r="D46" s="15">
        <v>3</v>
      </c>
      <c r="E46" s="15" t="s">
        <v>89</v>
      </c>
    </row>
    <row r="47" spans="1:5">
      <c r="A47" s="15">
        <v>44</v>
      </c>
      <c r="B47" s="15">
        <v>44</v>
      </c>
      <c r="C47" s="15">
        <v>4</v>
      </c>
      <c r="D47" s="15">
        <v>3</v>
      </c>
      <c r="E47" s="15" t="s">
        <v>89</v>
      </c>
    </row>
    <row r="48" spans="1:5">
      <c r="A48" s="15">
        <v>45</v>
      </c>
      <c r="B48" s="15">
        <v>45</v>
      </c>
      <c r="C48" s="15">
        <v>4</v>
      </c>
      <c r="D48" s="15">
        <v>3</v>
      </c>
      <c r="E48" s="15" t="s">
        <v>89</v>
      </c>
    </row>
    <row r="49" spans="1:5">
      <c r="A49" s="15">
        <v>46</v>
      </c>
      <c r="B49" s="15">
        <v>46</v>
      </c>
      <c r="C49" s="15">
        <v>4</v>
      </c>
      <c r="D49" s="15">
        <v>3</v>
      </c>
      <c r="E49" s="15" t="s">
        <v>89</v>
      </c>
    </row>
    <row r="50" spans="1:5">
      <c r="A50" s="15">
        <v>47</v>
      </c>
      <c r="B50" s="15">
        <v>47</v>
      </c>
      <c r="C50" s="15">
        <v>4</v>
      </c>
      <c r="D50" s="15">
        <v>3</v>
      </c>
      <c r="E50" s="15" t="s">
        <v>89</v>
      </c>
    </row>
    <row r="51" spans="1:5">
      <c r="A51" s="15">
        <v>48</v>
      </c>
      <c r="B51" s="15">
        <v>48</v>
      </c>
      <c r="C51" s="15">
        <v>4</v>
      </c>
      <c r="D51" s="15">
        <v>3</v>
      </c>
      <c r="E51" s="15" t="s">
        <v>89</v>
      </c>
    </row>
    <row r="52" spans="1:5">
      <c r="A52" s="15">
        <v>49</v>
      </c>
      <c r="B52" s="15">
        <v>49</v>
      </c>
      <c r="C52" s="15">
        <v>4</v>
      </c>
      <c r="D52" s="15">
        <v>3</v>
      </c>
      <c r="E52" s="15" t="s">
        <v>89</v>
      </c>
    </row>
    <row r="53" spans="1:5">
      <c r="A53" s="15">
        <v>50</v>
      </c>
      <c r="B53" s="15">
        <v>50</v>
      </c>
      <c r="C53" s="15">
        <v>4</v>
      </c>
      <c r="D53" s="15">
        <v>3</v>
      </c>
      <c r="E53" s="15" t="s">
        <v>89</v>
      </c>
    </row>
    <row r="54" spans="1:5">
      <c r="A54" s="15">
        <v>51</v>
      </c>
      <c r="B54" s="15">
        <v>51</v>
      </c>
      <c r="C54" s="15">
        <v>4</v>
      </c>
      <c r="D54" s="15">
        <v>3</v>
      </c>
      <c r="E54" s="15" t="s">
        <v>89</v>
      </c>
    </row>
    <row r="55" spans="1:5">
      <c r="A55" s="15">
        <v>52</v>
      </c>
      <c r="B55" s="15">
        <v>52</v>
      </c>
      <c r="C55" s="15">
        <v>4</v>
      </c>
      <c r="D55" s="15">
        <v>3</v>
      </c>
      <c r="E55" s="15" t="s">
        <v>89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0" customWidth="1"/>
    <col min="2" max="2" width="13.575" style="10" customWidth="1"/>
    <col min="3" max="3" width="127.141666666667" style="10" customWidth="1"/>
    <col min="4" max="4" width="49" style="10" customWidth="1"/>
    <col min="5" max="5" width="92.9666666666667" style="11" customWidth="1"/>
    <col min="6" max="16384" width="9" style="10"/>
  </cols>
  <sheetData>
    <row r="1" spans="1:5">
      <c r="A1" s="12" t="s">
        <v>52</v>
      </c>
      <c r="B1" s="12" t="s">
        <v>80</v>
      </c>
      <c r="C1" s="12" t="s">
        <v>90</v>
      </c>
      <c r="D1" s="12" t="s">
        <v>91</v>
      </c>
      <c r="E1" s="11" t="s">
        <v>5</v>
      </c>
    </row>
    <row r="2" spans="1:5">
      <c r="A2" s="12" t="s">
        <v>13</v>
      </c>
      <c r="B2" s="12" t="s">
        <v>84</v>
      </c>
      <c r="C2" s="12" t="s">
        <v>92</v>
      </c>
      <c r="D2" s="12" t="s">
        <v>93</v>
      </c>
    </row>
    <row r="3" spans="1:5">
      <c r="A3" s="12" t="s">
        <v>61</v>
      </c>
      <c r="B3" s="12" t="s">
        <v>61</v>
      </c>
      <c r="C3" s="12" t="s">
        <v>94</v>
      </c>
      <c r="D3" s="12" t="s">
        <v>7</v>
      </c>
    </row>
    <row r="4" spans="1:5">
      <c r="A4" s="12">
        <v>1</v>
      </c>
      <c r="B4" s="12">
        <v>1</v>
      </c>
      <c r="C4" s="13" t="s">
        <v>95</v>
      </c>
      <c r="D4" s="12" t="s">
        <v>96</v>
      </c>
    </row>
    <row r="5" spans="1:5">
      <c r="A5" s="12">
        <v>2</v>
      </c>
      <c r="B5" s="12">
        <v>2</v>
      </c>
      <c r="C5" s="13" t="s">
        <v>97</v>
      </c>
      <c r="D5" s="12" t="s">
        <v>96</v>
      </c>
    </row>
    <row r="6" spans="1:5">
      <c r="A6" s="12">
        <v>3</v>
      </c>
      <c r="B6" s="12">
        <v>3</v>
      </c>
      <c r="C6" s="13" t="s">
        <v>98</v>
      </c>
      <c r="D6" s="12" t="s">
        <v>96</v>
      </c>
    </row>
    <row r="7" spans="1:5">
      <c r="A7" s="12">
        <v>4</v>
      </c>
      <c r="B7" s="12">
        <v>4</v>
      </c>
      <c r="C7" s="13" t="s">
        <v>99</v>
      </c>
      <c r="D7" s="12" t="s">
        <v>96</v>
      </c>
    </row>
    <row r="8" spans="1:5">
      <c r="A8" s="12">
        <v>5</v>
      </c>
      <c r="B8" s="12">
        <v>5</v>
      </c>
      <c r="C8" s="13" t="s">
        <v>100</v>
      </c>
      <c r="D8" s="12" t="s">
        <v>96</v>
      </c>
    </row>
    <row r="9" spans="1:5">
      <c r="A9" s="12">
        <v>6</v>
      </c>
      <c r="B9" s="12">
        <v>6</v>
      </c>
      <c r="C9" s="13" t="s">
        <v>101</v>
      </c>
      <c r="D9" s="12" t="s">
        <v>96</v>
      </c>
    </row>
    <row r="10" spans="1:5">
      <c r="A10" s="12">
        <v>7</v>
      </c>
      <c r="B10" s="12">
        <v>7</v>
      </c>
      <c r="C10" s="13" t="s">
        <v>102</v>
      </c>
      <c r="D10" s="12" t="s">
        <v>96</v>
      </c>
    </row>
    <row r="11" spans="1:5">
      <c r="A11" s="12">
        <v>8</v>
      </c>
      <c r="B11" s="12">
        <v>8</v>
      </c>
      <c r="C11" s="13" t="s">
        <v>103</v>
      </c>
      <c r="D11" s="12" t="s">
        <v>96</v>
      </c>
    </row>
    <row r="12" spans="1:5">
      <c r="A12" s="12">
        <v>9</v>
      </c>
      <c r="B12" s="12">
        <v>9</v>
      </c>
      <c r="C12" s="13" t="s">
        <v>104</v>
      </c>
      <c r="D12" s="12" t="s">
        <v>96</v>
      </c>
    </row>
    <row r="13" spans="1:5">
      <c r="A13" s="12">
        <v>10</v>
      </c>
      <c r="B13" s="12">
        <v>10</v>
      </c>
      <c r="C13" s="13" t="s">
        <v>105</v>
      </c>
      <c r="D13" s="12" t="s">
        <v>96</v>
      </c>
    </row>
    <row r="14" spans="1:5">
      <c r="A14" s="12">
        <v>11</v>
      </c>
      <c r="B14" s="12">
        <v>11</v>
      </c>
      <c r="C14" s="13" t="s">
        <v>106</v>
      </c>
      <c r="D14" s="12" t="s">
        <v>96</v>
      </c>
    </row>
    <row r="15" spans="1:5">
      <c r="A15" s="12">
        <v>12</v>
      </c>
      <c r="B15" s="12">
        <v>12</v>
      </c>
      <c r="C15" s="13" t="s">
        <v>107</v>
      </c>
      <c r="D15" s="12" t="s">
        <v>96</v>
      </c>
    </row>
    <row r="16" spans="1:5">
      <c r="A16" s="12">
        <v>13</v>
      </c>
      <c r="B16" s="12">
        <v>13</v>
      </c>
      <c r="C16" s="13" t="s">
        <v>108</v>
      </c>
      <c r="D16" s="12" t="s">
        <v>96</v>
      </c>
    </row>
    <row r="17" spans="1:4">
      <c r="A17" s="12">
        <v>14</v>
      </c>
      <c r="B17" s="12">
        <v>14</v>
      </c>
      <c r="C17" s="13" t="s">
        <v>109</v>
      </c>
      <c r="D17" s="12" t="s">
        <v>96</v>
      </c>
    </row>
    <row r="18" spans="1:4">
      <c r="A18" s="12">
        <v>15</v>
      </c>
      <c r="B18" s="12">
        <v>15</v>
      </c>
      <c r="C18" s="13" t="s">
        <v>110</v>
      </c>
      <c r="D18" s="12" t="s">
        <v>96</v>
      </c>
    </row>
    <row r="19" spans="1:4">
      <c r="A19" s="12">
        <v>16</v>
      </c>
      <c r="B19" s="12">
        <v>16</v>
      </c>
      <c r="C19" s="13" t="s">
        <v>111</v>
      </c>
      <c r="D19" s="12" t="s">
        <v>96</v>
      </c>
    </row>
    <row r="20" spans="1:4">
      <c r="A20" s="12">
        <v>17</v>
      </c>
      <c r="B20" s="12">
        <v>17</v>
      </c>
      <c r="C20" s="13" t="s">
        <v>112</v>
      </c>
      <c r="D20" s="12" t="s">
        <v>96</v>
      </c>
    </row>
    <row r="21" spans="1:4">
      <c r="A21" s="12">
        <v>18</v>
      </c>
      <c r="B21" s="12">
        <v>18</v>
      </c>
      <c r="C21" s="13" t="s">
        <v>113</v>
      </c>
      <c r="D21" s="12" t="s">
        <v>96</v>
      </c>
    </row>
    <row r="22" spans="1:4">
      <c r="A22" s="12">
        <v>19</v>
      </c>
      <c r="B22" s="12">
        <v>19</v>
      </c>
      <c r="C22" s="13" t="s">
        <v>114</v>
      </c>
      <c r="D22" s="12" t="s">
        <v>96</v>
      </c>
    </row>
    <row r="23" spans="1:4">
      <c r="A23" s="12">
        <v>20</v>
      </c>
      <c r="B23" s="12">
        <v>20</v>
      </c>
      <c r="C23" s="13" t="s">
        <v>115</v>
      </c>
      <c r="D23" s="12" t="s">
        <v>96</v>
      </c>
    </row>
    <row r="24" spans="1:4">
      <c r="A24" s="12">
        <v>21</v>
      </c>
      <c r="B24" s="12">
        <v>21</v>
      </c>
      <c r="C24" s="13" t="s">
        <v>116</v>
      </c>
      <c r="D24" s="12" t="s">
        <v>96</v>
      </c>
    </row>
    <row r="25" spans="1:4">
      <c r="A25" s="12">
        <v>22</v>
      </c>
      <c r="B25" s="12">
        <v>22</v>
      </c>
      <c r="C25" s="13" t="s">
        <v>117</v>
      </c>
      <c r="D25" s="12" t="s">
        <v>96</v>
      </c>
    </row>
    <row r="26" spans="1:4">
      <c r="A26" s="12">
        <v>23</v>
      </c>
      <c r="B26" s="12">
        <v>23</v>
      </c>
      <c r="C26" s="13" t="s">
        <v>118</v>
      </c>
      <c r="D26" s="12" t="s">
        <v>96</v>
      </c>
    </row>
    <row r="27" spans="1:4">
      <c r="A27" s="12">
        <v>24</v>
      </c>
      <c r="B27" s="12">
        <v>24</v>
      </c>
      <c r="C27" s="13" t="s">
        <v>119</v>
      </c>
      <c r="D27" s="12" t="s">
        <v>96</v>
      </c>
    </row>
    <row r="28" spans="1:4">
      <c r="A28" s="12">
        <v>25</v>
      </c>
      <c r="B28" s="12">
        <v>25</v>
      </c>
      <c r="C28" s="13" t="s">
        <v>120</v>
      </c>
      <c r="D28" s="12" t="s">
        <v>96</v>
      </c>
    </row>
    <row r="29" spans="1:4">
      <c r="A29" s="12">
        <v>26</v>
      </c>
      <c r="B29" s="12">
        <v>26</v>
      </c>
      <c r="C29" s="13" t="s">
        <v>121</v>
      </c>
      <c r="D29" s="12" t="s">
        <v>96</v>
      </c>
    </row>
    <row r="30" spans="1:4">
      <c r="A30" s="12">
        <v>27</v>
      </c>
      <c r="B30" s="12">
        <v>27</v>
      </c>
      <c r="C30" s="13" t="s">
        <v>122</v>
      </c>
      <c r="D30" s="12" t="s">
        <v>96</v>
      </c>
    </row>
    <row r="31" spans="1:4">
      <c r="A31" s="12">
        <v>28</v>
      </c>
      <c r="B31" s="12">
        <v>28</v>
      </c>
      <c r="C31" s="13" t="s">
        <v>123</v>
      </c>
      <c r="D31" s="12" t="s">
        <v>96</v>
      </c>
    </row>
    <row r="32" spans="1:4">
      <c r="A32" s="12">
        <v>29</v>
      </c>
      <c r="B32" s="12">
        <v>29</v>
      </c>
      <c r="C32" s="13" t="s">
        <v>124</v>
      </c>
      <c r="D32" s="12" t="s">
        <v>96</v>
      </c>
    </row>
    <row r="33" spans="1:4">
      <c r="A33" s="12">
        <v>30</v>
      </c>
      <c r="B33" s="12">
        <v>30</v>
      </c>
      <c r="C33" s="13" t="s">
        <v>125</v>
      </c>
      <c r="D33" s="12" t="s">
        <v>96</v>
      </c>
    </row>
    <row r="34" spans="1:4">
      <c r="A34" s="12">
        <v>31</v>
      </c>
      <c r="B34" s="12">
        <v>31</v>
      </c>
      <c r="C34" s="13" t="s">
        <v>126</v>
      </c>
      <c r="D34" s="12" t="s">
        <v>96</v>
      </c>
    </row>
    <row r="35" spans="1:4">
      <c r="A35" s="12">
        <v>32</v>
      </c>
      <c r="B35" s="12">
        <v>32</v>
      </c>
      <c r="C35" s="13" t="s">
        <v>127</v>
      </c>
      <c r="D35" s="12" t="s">
        <v>96</v>
      </c>
    </row>
    <row r="36" spans="1:4">
      <c r="A36" s="12">
        <v>33</v>
      </c>
      <c r="B36" s="12">
        <v>33</v>
      </c>
      <c r="C36" s="13" t="s">
        <v>128</v>
      </c>
      <c r="D36" s="12" t="s">
        <v>96</v>
      </c>
    </row>
    <row r="37" spans="1:4">
      <c r="A37" s="12">
        <v>34</v>
      </c>
      <c r="B37" s="12">
        <v>34</v>
      </c>
      <c r="C37" s="13" t="s">
        <v>129</v>
      </c>
      <c r="D37" s="12" t="s">
        <v>96</v>
      </c>
    </row>
    <row r="38" spans="1:4">
      <c r="A38" s="12">
        <v>35</v>
      </c>
      <c r="B38" s="12">
        <v>35</v>
      </c>
      <c r="C38" s="13" t="s">
        <v>130</v>
      </c>
      <c r="D38" s="12" t="s">
        <v>96</v>
      </c>
    </row>
    <row r="39" spans="1:4">
      <c r="A39" s="12">
        <v>36</v>
      </c>
      <c r="B39" s="12">
        <v>36</v>
      </c>
      <c r="C39" s="13" t="s">
        <v>131</v>
      </c>
      <c r="D39" s="12" t="s">
        <v>96</v>
      </c>
    </row>
    <row r="40" spans="1:4">
      <c r="A40" s="12">
        <v>37</v>
      </c>
      <c r="B40" s="12">
        <v>37</v>
      </c>
      <c r="C40" s="13" t="s">
        <v>132</v>
      </c>
      <c r="D40" s="12" t="s">
        <v>96</v>
      </c>
    </row>
    <row r="41" spans="1:4">
      <c r="A41" s="12">
        <v>38</v>
      </c>
      <c r="B41" s="12">
        <v>38</v>
      </c>
      <c r="C41" s="13" t="s">
        <v>133</v>
      </c>
      <c r="D41" s="12" t="s">
        <v>96</v>
      </c>
    </row>
    <row r="42" spans="1:4">
      <c r="A42" s="12">
        <v>39</v>
      </c>
      <c r="B42" s="12">
        <v>39</v>
      </c>
      <c r="C42" s="13" t="s">
        <v>134</v>
      </c>
      <c r="D42" s="12" t="s">
        <v>96</v>
      </c>
    </row>
    <row r="43" spans="1:4">
      <c r="A43" s="13">
        <v>40</v>
      </c>
      <c r="B43" s="13">
        <v>40</v>
      </c>
      <c r="C43" s="13" t="s">
        <v>135</v>
      </c>
      <c r="D43" s="13" t="s">
        <v>96</v>
      </c>
    </row>
    <row r="44" spans="1:4">
      <c r="A44" s="13">
        <v>41</v>
      </c>
      <c r="B44" s="13">
        <v>41</v>
      </c>
      <c r="C44" s="13" t="s">
        <v>136</v>
      </c>
      <c r="D44" s="13" t="s">
        <v>96</v>
      </c>
    </row>
    <row r="45" spans="1:4">
      <c r="A45" s="13">
        <v>42</v>
      </c>
      <c r="B45" s="13">
        <v>42</v>
      </c>
      <c r="C45" s="13" t="s">
        <v>137</v>
      </c>
      <c r="D45" s="13" t="s">
        <v>96</v>
      </c>
    </row>
    <row r="46" spans="1:4">
      <c r="A46" s="13">
        <v>43</v>
      </c>
      <c r="B46" s="13">
        <v>43</v>
      </c>
      <c r="C46" s="13" t="s">
        <v>138</v>
      </c>
      <c r="D46" s="13" t="s">
        <v>96</v>
      </c>
    </row>
    <row r="47" spans="1:4">
      <c r="A47" s="13">
        <v>44</v>
      </c>
      <c r="B47" s="13">
        <v>44</v>
      </c>
      <c r="C47" s="13" t="s">
        <v>139</v>
      </c>
      <c r="D47" s="13" t="s">
        <v>96</v>
      </c>
    </row>
    <row r="48" spans="1:4">
      <c r="A48" s="13">
        <v>45</v>
      </c>
      <c r="B48" s="13">
        <v>45</v>
      </c>
      <c r="C48" s="13" t="s">
        <v>140</v>
      </c>
      <c r="D48" s="13" t="s">
        <v>96</v>
      </c>
    </row>
    <row r="49" spans="1:4">
      <c r="A49" s="13">
        <v>46</v>
      </c>
      <c r="B49" s="13">
        <v>46</v>
      </c>
      <c r="C49" s="13" t="s">
        <v>141</v>
      </c>
      <c r="D49" s="13" t="s">
        <v>96</v>
      </c>
    </row>
    <row r="50" spans="1:4">
      <c r="A50" s="13">
        <v>47</v>
      </c>
      <c r="B50" s="13">
        <v>47</v>
      </c>
      <c r="C50" s="13" t="s">
        <v>142</v>
      </c>
      <c r="D50" s="13" t="s">
        <v>96</v>
      </c>
    </row>
    <row r="51" spans="1:4">
      <c r="A51" s="13">
        <v>48</v>
      </c>
      <c r="B51" s="13">
        <v>48</v>
      </c>
      <c r="C51" s="13" t="s">
        <v>143</v>
      </c>
      <c r="D51" s="13" t="s">
        <v>96</v>
      </c>
    </row>
    <row r="52" spans="1:4">
      <c r="A52" s="13">
        <v>49</v>
      </c>
      <c r="B52" s="13">
        <v>49</v>
      </c>
      <c r="C52" s="13" t="s">
        <v>144</v>
      </c>
      <c r="D52" s="13" t="s">
        <v>96</v>
      </c>
    </row>
    <row r="53" spans="1:4">
      <c r="A53" s="13">
        <v>50</v>
      </c>
      <c r="B53" s="13">
        <v>50</v>
      </c>
      <c r="C53" s="13" t="s">
        <v>145</v>
      </c>
      <c r="D53" s="13" t="s">
        <v>96</v>
      </c>
    </row>
    <row r="54" spans="1:4">
      <c r="A54" s="13">
        <v>51</v>
      </c>
      <c r="B54" s="13">
        <v>51</v>
      </c>
      <c r="C54" s="13" t="s">
        <v>146</v>
      </c>
      <c r="D54" s="13" t="s">
        <v>96</v>
      </c>
    </row>
    <row r="55" spans="1:4">
      <c r="A55" s="13">
        <v>52</v>
      </c>
      <c r="B55" s="13">
        <v>52</v>
      </c>
      <c r="C55" s="13" t="s">
        <v>147</v>
      </c>
      <c r="D55" s="13" t="s">
        <v>96</v>
      </c>
    </row>
    <row r="56" spans="1:4">
      <c r="A56" s="13"/>
      <c r="B56" s="13"/>
      <c r="C56" s="13"/>
      <c r="D56" s="13"/>
    </row>
    <row r="57" spans="1:4">
      <c r="A57" s="13"/>
      <c r="B57" s="13"/>
      <c r="C57" s="13"/>
      <c r="D57" s="13"/>
    </row>
    <row r="58" spans="1:4">
      <c r="C58" s="1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tabSelected="1" zoomScale="85" zoomScaleNormal="85" workbookViewId="0">
      <selection activeCell="F2" sqref="F2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52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2" t="s">
        <v>154</v>
      </c>
    </row>
    <row r="2" ht="16.5" spans="1:12">
      <c r="A2" s="1" t="s">
        <v>13</v>
      </c>
      <c r="B2" s="1" t="s">
        <v>155</v>
      </c>
      <c r="C2" s="1" t="s">
        <v>156</v>
      </c>
      <c r="D2" s="1" t="s">
        <v>157</v>
      </c>
      <c r="E2" s="1" t="s">
        <v>158</v>
      </c>
      <c r="F2" s="1" t="s">
        <v>159</v>
      </c>
      <c r="G2" s="1" t="s">
        <v>160</v>
      </c>
      <c r="H2" s="1" t="s">
        <v>161</v>
      </c>
    </row>
    <row r="3" ht="16.5" spans="1:12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7</v>
      </c>
      <c r="G3" s="1" t="s">
        <v>162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163</v>
      </c>
      <c r="D4" s="1">
        <v>3</v>
      </c>
      <c r="E4" s="1">
        <f>CEILING(A4/4,1)</f>
        <v>1</v>
      </c>
      <c r="F4" s="7">
        <v>73689874069532</v>
      </c>
      <c r="G4" s="8" t="s">
        <v>164</v>
      </c>
      <c r="H4" s="2" t="s">
        <v>165</v>
      </c>
    </row>
    <row r="5" ht="16.5" spans="1:12">
      <c r="A5" s="1">
        <v>2</v>
      </c>
      <c r="B5" s="1">
        <v>2</v>
      </c>
      <c r="C5" s="1" t="s">
        <v>166</v>
      </c>
      <c r="D5" s="1">
        <v>4</v>
      </c>
      <c r="E5" s="1">
        <f t="shared" ref="E5:E36" si="0">CEILING(A5/4,1)</f>
        <v>1</v>
      </c>
      <c r="F5" s="7">
        <v>103338086714343</v>
      </c>
      <c r="G5" s="8" t="s">
        <v>167</v>
      </c>
      <c r="H5" s="2" t="s">
        <v>165</v>
      </c>
      <c r="I5" s="3"/>
      <c r="J5" s="3"/>
    </row>
    <row r="6" ht="16.5" spans="1:12">
      <c r="A6" s="1">
        <v>3</v>
      </c>
      <c r="B6" s="1">
        <v>3</v>
      </c>
      <c r="C6" s="1" t="s">
        <v>168</v>
      </c>
      <c r="D6" s="1">
        <v>6</v>
      </c>
      <c r="E6" s="1">
        <f t="shared" si="0"/>
        <v>1</v>
      </c>
      <c r="F6" s="7">
        <v>114468149232543</v>
      </c>
      <c r="G6" s="8" t="s">
        <v>169</v>
      </c>
      <c r="H6" s="2" t="s">
        <v>165</v>
      </c>
      <c r="I6" s="3"/>
      <c r="J6" s="3"/>
    </row>
    <row r="7" ht="16.5" spans="1:12">
      <c r="A7" s="1">
        <v>4</v>
      </c>
      <c r="B7" s="1">
        <v>4</v>
      </c>
      <c r="C7" s="1" t="s">
        <v>170</v>
      </c>
      <c r="D7" s="1">
        <v>8</v>
      </c>
      <c r="E7" s="1">
        <f t="shared" si="0"/>
        <v>1</v>
      </c>
      <c r="F7" s="7">
        <v>102034222005672</v>
      </c>
      <c r="G7" s="8" t="s">
        <v>171</v>
      </c>
      <c r="H7" s="2" t="s">
        <v>165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172</v>
      </c>
      <c r="D8" s="1">
        <v>13</v>
      </c>
      <c r="E8" s="1">
        <f t="shared" si="0"/>
        <v>2</v>
      </c>
      <c r="F8" s="7">
        <v>83505287199254</v>
      </c>
      <c r="G8" s="8" t="s">
        <v>173</v>
      </c>
      <c r="H8" s="2" t="s">
        <v>165</v>
      </c>
    </row>
    <row r="9" ht="16.5" spans="1:12">
      <c r="A9" s="1">
        <v>6</v>
      </c>
      <c r="B9" s="1">
        <v>6</v>
      </c>
      <c r="C9" s="1" t="s">
        <v>174</v>
      </c>
      <c r="D9" s="1">
        <v>20</v>
      </c>
      <c r="E9" s="1">
        <f t="shared" si="0"/>
        <v>2</v>
      </c>
      <c r="F9" s="7">
        <v>82413393212572</v>
      </c>
      <c r="G9" s="8" t="s">
        <v>175</v>
      </c>
      <c r="H9" s="2" t="s">
        <v>165</v>
      </c>
      <c r="I9" s="3"/>
    </row>
    <row r="10" ht="16.5" spans="1:12">
      <c r="A10" s="1">
        <v>7</v>
      </c>
      <c r="B10" s="1">
        <v>7</v>
      </c>
      <c r="C10" s="1" t="s">
        <v>176</v>
      </c>
      <c r="D10" s="1">
        <v>30</v>
      </c>
      <c r="E10" s="1">
        <f t="shared" si="0"/>
        <v>2</v>
      </c>
      <c r="F10" s="7">
        <v>93587171790136</v>
      </c>
      <c r="G10" s="8" t="s">
        <v>177</v>
      </c>
      <c r="H10" s="2" t="s">
        <v>165</v>
      </c>
      <c r="I10" s="3"/>
    </row>
    <row r="11" ht="16.5" spans="1:12">
      <c r="A11" s="1">
        <v>8</v>
      </c>
      <c r="B11" s="1">
        <v>8</v>
      </c>
      <c r="C11" s="1" t="s">
        <v>178</v>
      </c>
      <c r="D11" s="1">
        <v>38</v>
      </c>
      <c r="E11" s="1">
        <f t="shared" si="0"/>
        <v>2</v>
      </c>
      <c r="F11" s="7">
        <v>98881391823727</v>
      </c>
      <c r="G11" s="8" t="s">
        <v>179</v>
      </c>
      <c r="H11" s="2" t="s">
        <v>165</v>
      </c>
      <c r="I11" s="3"/>
    </row>
    <row r="12" s="3" customFormat="1" ht="16.5" spans="1:12">
      <c r="A12" s="1">
        <v>9</v>
      </c>
      <c r="B12" s="1">
        <v>9</v>
      </c>
      <c r="C12" s="1" t="s">
        <v>180</v>
      </c>
      <c r="D12" s="1">
        <v>63</v>
      </c>
      <c r="E12" s="1">
        <f t="shared" si="0"/>
        <v>3</v>
      </c>
      <c r="F12" s="7">
        <v>140583336060167</v>
      </c>
      <c r="G12" s="8" t="s">
        <v>181</v>
      </c>
      <c r="H12" s="2" t="s">
        <v>165</v>
      </c>
    </row>
    <row r="13" s="3" customFormat="1" ht="16.5" spans="1:12">
      <c r="A13" s="1">
        <v>10</v>
      </c>
      <c r="B13" s="1">
        <v>10</v>
      </c>
      <c r="C13" s="1" t="s">
        <v>182</v>
      </c>
      <c r="D13" s="1">
        <v>100</v>
      </c>
      <c r="E13" s="1">
        <f t="shared" si="0"/>
        <v>3</v>
      </c>
      <c r="F13" s="7">
        <v>111194186656631</v>
      </c>
      <c r="G13" s="8" t="s">
        <v>183</v>
      </c>
      <c r="H13" s="2" t="s">
        <v>165</v>
      </c>
    </row>
    <row r="14" s="3" customFormat="1" ht="16.5" spans="1:12">
      <c r="A14" s="1">
        <v>11</v>
      </c>
      <c r="B14" s="1">
        <v>11</v>
      </c>
      <c r="C14" s="1" t="s">
        <v>184</v>
      </c>
      <c r="D14" s="1">
        <v>150</v>
      </c>
      <c r="E14" s="1">
        <f t="shared" si="0"/>
        <v>3</v>
      </c>
      <c r="F14" s="7">
        <v>133914186848952</v>
      </c>
      <c r="G14" s="8" t="s">
        <v>185</v>
      </c>
      <c r="H14" s="2" t="s">
        <v>165</v>
      </c>
    </row>
    <row r="15" s="3" customFormat="1" ht="16.5" spans="1:12">
      <c r="A15" s="1">
        <v>12</v>
      </c>
      <c r="B15" s="1">
        <v>12</v>
      </c>
      <c r="C15" s="1" t="s">
        <v>186</v>
      </c>
      <c r="D15" s="1">
        <v>188</v>
      </c>
      <c r="E15" s="1">
        <f t="shared" si="0"/>
        <v>3</v>
      </c>
      <c r="F15" s="7">
        <v>122198581325096</v>
      </c>
      <c r="G15" s="8" t="s">
        <v>187</v>
      </c>
      <c r="H15" s="2" t="s">
        <v>165</v>
      </c>
    </row>
    <row r="16" ht="16.5" spans="1:12">
      <c r="A16" s="1">
        <v>13</v>
      </c>
      <c r="B16" s="1">
        <v>13</v>
      </c>
      <c r="C16" s="1" t="s">
        <v>188</v>
      </c>
      <c r="D16" s="1">
        <v>313</v>
      </c>
      <c r="E16" s="1">
        <f t="shared" si="0"/>
        <v>4</v>
      </c>
      <c r="F16" s="7">
        <v>137046890645413</v>
      </c>
      <c r="G16" s="8" t="s">
        <v>189</v>
      </c>
      <c r="H16" s="2" t="s">
        <v>165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190</v>
      </c>
      <c r="D17" s="1">
        <v>500</v>
      </c>
      <c r="E17" s="1">
        <f t="shared" si="0"/>
        <v>4</v>
      </c>
      <c r="F17" s="7">
        <v>102352328211075</v>
      </c>
      <c r="G17" s="8" t="s">
        <v>191</v>
      </c>
      <c r="H17" s="2" t="s">
        <v>165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192</v>
      </c>
      <c r="D18" s="1">
        <v>750</v>
      </c>
      <c r="E18" s="1">
        <f t="shared" si="0"/>
        <v>4</v>
      </c>
      <c r="F18" s="7">
        <v>82050572064304</v>
      </c>
      <c r="G18" s="8" t="s">
        <v>193</v>
      </c>
      <c r="H18" s="2" t="s">
        <v>165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194</v>
      </c>
      <c r="D19" s="1">
        <v>938</v>
      </c>
      <c r="E19" s="1">
        <f t="shared" si="0"/>
        <v>4</v>
      </c>
      <c r="F19" s="7">
        <v>78831531789183</v>
      </c>
      <c r="G19" s="8" t="s">
        <v>195</v>
      </c>
      <c r="H19" s="2" t="s">
        <v>165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196</v>
      </c>
      <c r="D20" s="1">
        <v>1563</v>
      </c>
      <c r="E20" s="1">
        <f t="shared" si="0"/>
        <v>5</v>
      </c>
      <c r="F20" s="7">
        <v>108041083429458</v>
      </c>
      <c r="G20" s="8" t="s">
        <v>197</v>
      </c>
      <c r="H20" s="2" t="s">
        <v>165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198</v>
      </c>
      <c r="D21" s="1">
        <v>2500</v>
      </c>
      <c r="E21" s="1">
        <f t="shared" si="0"/>
        <v>5</v>
      </c>
      <c r="F21" s="7">
        <v>86299665819505</v>
      </c>
      <c r="G21" s="8" t="s">
        <v>199</v>
      </c>
      <c r="H21" s="2" t="s">
        <v>165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200</v>
      </c>
      <c r="D22" s="1">
        <v>3750</v>
      </c>
      <c r="E22" s="1">
        <f t="shared" si="0"/>
        <v>5</v>
      </c>
      <c r="F22" s="7">
        <v>123569723967761</v>
      </c>
      <c r="G22" s="8" t="s">
        <v>201</v>
      </c>
      <c r="H22" s="2" t="s">
        <v>165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202</v>
      </c>
      <c r="D23" s="1">
        <v>4688</v>
      </c>
      <c r="E23" s="1">
        <f t="shared" si="0"/>
        <v>5</v>
      </c>
      <c r="F23" s="7">
        <v>119546448004051</v>
      </c>
      <c r="G23" s="8" t="s">
        <v>203</v>
      </c>
      <c r="H23" s="2" t="s">
        <v>165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204</v>
      </c>
      <c r="D24" s="1">
        <v>7800</v>
      </c>
      <c r="E24" s="1">
        <f t="shared" si="0"/>
        <v>6</v>
      </c>
      <c r="F24" s="7">
        <v>91007101306341</v>
      </c>
      <c r="G24" s="8" t="s">
        <v>205</v>
      </c>
      <c r="H24" s="2" t="s">
        <v>165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206</v>
      </c>
      <c r="D25" s="1">
        <v>12480</v>
      </c>
      <c r="E25" s="1">
        <f t="shared" si="0"/>
        <v>6</v>
      </c>
      <c r="F25" s="7">
        <v>91391954516503</v>
      </c>
      <c r="G25" s="8" t="s">
        <v>207</v>
      </c>
      <c r="H25" s="2" t="s">
        <v>165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208</v>
      </c>
      <c r="D26" s="1">
        <v>18720</v>
      </c>
      <c r="E26" s="1">
        <f t="shared" si="0"/>
        <v>6</v>
      </c>
      <c r="F26" s="7">
        <v>109276220541606</v>
      </c>
      <c r="G26" s="8" t="s">
        <v>209</v>
      </c>
      <c r="H26" s="2" t="s">
        <v>165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210</v>
      </c>
      <c r="D27" s="1">
        <v>23400</v>
      </c>
      <c r="E27" s="1">
        <f t="shared" si="0"/>
        <v>6</v>
      </c>
      <c r="F27" s="7">
        <v>108792020810626</v>
      </c>
      <c r="G27" s="8" t="s">
        <v>211</v>
      </c>
      <c r="H27" s="2" t="s">
        <v>165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212</v>
      </c>
      <c r="D28" s="1">
        <v>39050</v>
      </c>
      <c r="E28" s="1">
        <f t="shared" si="0"/>
        <v>7</v>
      </c>
      <c r="F28" s="7">
        <v>94990895501990</v>
      </c>
      <c r="G28" s="8" t="s">
        <v>213</v>
      </c>
      <c r="H28" s="2" t="s">
        <v>165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214</v>
      </c>
      <c r="D29" s="1">
        <v>62480</v>
      </c>
      <c r="E29" s="1">
        <f t="shared" si="0"/>
        <v>7</v>
      </c>
      <c r="F29" s="7">
        <v>92053411642730</v>
      </c>
      <c r="G29" s="8" t="s">
        <v>215</v>
      </c>
      <c r="H29" s="2" t="s">
        <v>165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216</v>
      </c>
      <c r="D30" s="1">
        <v>93720</v>
      </c>
      <c r="E30" s="1">
        <f t="shared" si="0"/>
        <v>7</v>
      </c>
      <c r="F30" s="7">
        <v>129094955837159</v>
      </c>
      <c r="G30" s="8" t="s">
        <v>217</v>
      </c>
      <c r="H30" s="2" t="s">
        <v>165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218</v>
      </c>
      <c r="D31" s="1">
        <v>117150</v>
      </c>
      <c r="E31" s="1">
        <f t="shared" si="0"/>
        <v>7</v>
      </c>
      <c r="F31" s="7">
        <v>136720402016106</v>
      </c>
      <c r="G31" s="8" t="s">
        <v>219</v>
      </c>
      <c r="H31" s="2" t="s">
        <v>165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220</v>
      </c>
      <c r="D32" s="1">
        <v>195500</v>
      </c>
      <c r="E32" s="1">
        <f t="shared" si="0"/>
        <v>8</v>
      </c>
      <c r="F32" s="7">
        <v>103985740716894</v>
      </c>
      <c r="G32" s="8" t="s">
        <v>221</v>
      </c>
      <c r="H32" s="2" t="s">
        <v>165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222</v>
      </c>
      <c r="D33" s="1">
        <v>312800</v>
      </c>
      <c r="E33" s="1">
        <f t="shared" si="0"/>
        <v>8</v>
      </c>
      <c r="F33" s="7">
        <v>110363379748775</v>
      </c>
      <c r="G33" s="8" t="s">
        <v>223</v>
      </c>
      <c r="H33" s="2" t="s">
        <v>165</v>
      </c>
    </row>
    <row r="34" s="3" customFormat="1" ht="16.5" spans="1:12">
      <c r="A34" s="1">
        <v>31</v>
      </c>
      <c r="B34" s="1">
        <v>31</v>
      </c>
      <c r="C34" s="1" t="s">
        <v>224</v>
      </c>
      <c r="D34" s="1">
        <v>469200</v>
      </c>
      <c r="E34" s="1">
        <f t="shared" si="0"/>
        <v>8</v>
      </c>
      <c r="F34" s="7">
        <v>130735151388109</v>
      </c>
      <c r="G34" s="8" t="s">
        <v>225</v>
      </c>
      <c r="H34" s="2" t="s">
        <v>165</v>
      </c>
    </row>
    <row r="35" s="3" customFormat="1" ht="16.5" spans="1:12">
      <c r="A35" s="1">
        <v>32</v>
      </c>
      <c r="B35" s="1">
        <v>32</v>
      </c>
      <c r="C35" s="1" t="s">
        <v>226</v>
      </c>
      <c r="D35" s="1">
        <v>586500</v>
      </c>
      <c r="E35" s="1">
        <f t="shared" si="0"/>
        <v>8</v>
      </c>
      <c r="F35" s="7">
        <v>112469820699203</v>
      </c>
      <c r="G35" s="8" t="s">
        <v>227</v>
      </c>
      <c r="H35" s="2" t="s">
        <v>165</v>
      </c>
    </row>
    <row r="36" ht="16.5" spans="1:12">
      <c r="A36" s="1">
        <v>33</v>
      </c>
      <c r="B36" s="1">
        <v>33</v>
      </c>
      <c r="C36" s="1" t="s">
        <v>228</v>
      </c>
      <c r="D36" s="1">
        <v>975000</v>
      </c>
      <c r="E36" s="1">
        <f t="shared" si="0"/>
        <v>9</v>
      </c>
      <c r="F36" s="7">
        <v>104485794834544</v>
      </c>
      <c r="G36" s="8" t="s">
        <v>229</v>
      </c>
      <c r="H36" s="2" t="s">
        <v>165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230</v>
      </c>
      <c r="D37" s="1">
        <v>1560000</v>
      </c>
      <c r="E37" s="1">
        <f>INT((ROW()-ROW(ItemData!$E$14))/4)+1</f>
        <v>6</v>
      </c>
      <c r="F37" s="7">
        <v>99220241284612</v>
      </c>
      <c r="G37" s="8" t="s">
        <v>231</v>
      </c>
      <c r="H37" s="2" t="s">
        <v>165</v>
      </c>
    </row>
    <row r="38" s="3" customFormat="1" ht="16.5" spans="1:12">
      <c r="A38" s="1">
        <v>35</v>
      </c>
      <c r="B38" s="1">
        <v>35</v>
      </c>
      <c r="C38" s="1" t="s">
        <v>232</v>
      </c>
      <c r="D38" s="1">
        <v>2340000</v>
      </c>
      <c r="E38" s="1">
        <f>INT((ROW()-ROW(ItemData!$E$14))/4)+1</f>
        <v>7</v>
      </c>
      <c r="F38" s="7">
        <v>80947939739818</v>
      </c>
      <c r="G38" s="8" t="s">
        <v>233</v>
      </c>
      <c r="H38" s="2" t="s">
        <v>165</v>
      </c>
    </row>
    <row r="39" ht="16.5" spans="1:12">
      <c r="A39" s="1">
        <v>36</v>
      </c>
      <c r="B39" s="1">
        <v>36</v>
      </c>
      <c r="C39" s="1" t="s">
        <v>234</v>
      </c>
      <c r="D39" s="1">
        <v>2925000</v>
      </c>
      <c r="E39" s="1">
        <f t="shared" ref="E39:E72" si="1">CEILING(A39/4,1)</f>
        <v>9</v>
      </c>
      <c r="F39" s="7">
        <v>107316878006177</v>
      </c>
      <c r="G39" s="8" t="s">
        <v>235</v>
      </c>
      <c r="H39" s="2" t="s">
        <v>165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236</v>
      </c>
      <c r="D40" s="1">
        <v>4885000</v>
      </c>
      <c r="E40" s="1">
        <f t="shared" si="1"/>
        <v>10</v>
      </c>
      <c r="F40" s="7">
        <v>81581045315216</v>
      </c>
      <c r="G40" s="8" t="s">
        <v>237</v>
      </c>
      <c r="H40" s="2" t="s">
        <v>165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238</v>
      </c>
      <c r="D41" s="1">
        <v>7816000</v>
      </c>
      <c r="E41" s="1">
        <f t="shared" si="1"/>
        <v>10</v>
      </c>
      <c r="F41" s="7">
        <v>112660123650049</v>
      </c>
      <c r="G41" s="8" t="s">
        <v>239</v>
      </c>
      <c r="H41" s="2" t="s">
        <v>165</v>
      </c>
    </row>
    <row r="42" s="3" customFormat="1" ht="16.5" spans="1:12">
      <c r="A42" s="1">
        <v>39</v>
      </c>
      <c r="B42" s="1">
        <v>39</v>
      </c>
      <c r="C42" s="1" t="s">
        <v>240</v>
      </c>
      <c r="D42" s="1">
        <v>11724000</v>
      </c>
      <c r="E42" s="1">
        <f t="shared" si="1"/>
        <v>10</v>
      </c>
      <c r="F42" s="7">
        <v>105948548039431</v>
      </c>
      <c r="G42" s="8" t="s">
        <v>241</v>
      </c>
      <c r="H42" s="2" t="s">
        <v>165</v>
      </c>
    </row>
    <row r="43" s="3" customFormat="1" ht="16.5" spans="1:12">
      <c r="A43" s="1">
        <v>40</v>
      </c>
      <c r="B43" s="1">
        <v>40</v>
      </c>
      <c r="C43" s="1" t="s">
        <v>242</v>
      </c>
      <c r="D43" s="1">
        <v>14655000</v>
      </c>
      <c r="E43" s="1">
        <f t="shared" si="1"/>
        <v>10</v>
      </c>
      <c r="F43" s="7">
        <v>136608949835509</v>
      </c>
      <c r="G43" s="8" t="s">
        <v>243</v>
      </c>
      <c r="H43" s="2" t="s">
        <v>165</v>
      </c>
    </row>
    <row r="44" s="3" customFormat="1" ht="16.5" spans="1:12">
      <c r="A44" s="1">
        <v>41</v>
      </c>
      <c r="B44" s="1">
        <v>41</v>
      </c>
      <c r="C44" s="1" t="s">
        <v>244</v>
      </c>
      <c r="D44" s="1">
        <v>24400000</v>
      </c>
      <c r="E44" s="1">
        <f t="shared" si="1"/>
        <v>11</v>
      </c>
      <c r="F44" s="7">
        <v>123814344941081</v>
      </c>
      <c r="G44" s="8" t="s">
        <v>245</v>
      </c>
      <c r="H44" s="2" t="s">
        <v>165</v>
      </c>
    </row>
    <row r="45" s="3" customFormat="1" ht="16.5" spans="1:12">
      <c r="A45" s="1">
        <v>42</v>
      </c>
      <c r="B45" s="1">
        <v>42</v>
      </c>
      <c r="C45" s="1" t="s">
        <v>246</v>
      </c>
      <c r="D45" s="1">
        <v>39040000</v>
      </c>
      <c r="E45" s="1">
        <f t="shared" si="1"/>
        <v>11</v>
      </c>
      <c r="F45" s="7">
        <v>70631811357234</v>
      </c>
      <c r="G45" s="8" t="s">
        <v>247</v>
      </c>
      <c r="H45" s="2" t="s">
        <v>165</v>
      </c>
    </row>
    <row r="46" s="3" customFormat="1" ht="16.5" spans="1:12">
      <c r="A46" s="1">
        <v>43</v>
      </c>
      <c r="B46" s="1">
        <v>43</v>
      </c>
      <c r="C46" s="1" t="s">
        <v>248</v>
      </c>
      <c r="D46" s="1">
        <v>58560000</v>
      </c>
      <c r="E46" s="1">
        <f t="shared" si="1"/>
        <v>11</v>
      </c>
      <c r="F46" s="7">
        <v>121882306399734</v>
      </c>
      <c r="G46" s="8" t="s">
        <v>249</v>
      </c>
      <c r="H46" s="2" t="s">
        <v>165</v>
      </c>
    </row>
    <row r="47" s="3" customFormat="1" ht="16.5" spans="1:12">
      <c r="A47" s="1">
        <v>44</v>
      </c>
      <c r="B47" s="1">
        <v>44</v>
      </c>
      <c r="C47" s="1" t="s">
        <v>250</v>
      </c>
      <c r="D47" s="1">
        <v>73200000</v>
      </c>
      <c r="E47" s="1">
        <f t="shared" si="1"/>
        <v>11</v>
      </c>
      <c r="F47" s="7">
        <v>98362111955314</v>
      </c>
      <c r="G47" s="8" t="s">
        <v>251</v>
      </c>
      <c r="H47" s="2" t="s">
        <v>165</v>
      </c>
    </row>
    <row r="48" s="3" customFormat="1" ht="16.5" spans="1:12">
      <c r="A48" s="1">
        <v>45</v>
      </c>
      <c r="B48" s="1">
        <v>45</v>
      </c>
      <c r="C48" s="1" t="s">
        <v>252</v>
      </c>
      <c r="D48" s="1">
        <v>122000000</v>
      </c>
      <c r="E48" s="1">
        <f t="shared" si="1"/>
        <v>12</v>
      </c>
      <c r="F48" s="7">
        <v>87499152943626</v>
      </c>
      <c r="G48" s="8" t="s">
        <v>253</v>
      </c>
      <c r="H48" s="2" t="s">
        <v>165</v>
      </c>
    </row>
    <row r="49" s="3" customFormat="1" ht="16.5" spans="1:8">
      <c r="A49" s="1">
        <v>46</v>
      </c>
      <c r="B49" s="1">
        <v>46</v>
      </c>
      <c r="C49" s="1" t="s">
        <v>254</v>
      </c>
      <c r="D49" s="1">
        <v>195200000</v>
      </c>
      <c r="E49" s="1">
        <f t="shared" si="1"/>
        <v>12</v>
      </c>
      <c r="F49" s="7">
        <v>94526628741923</v>
      </c>
      <c r="G49" s="8" t="s">
        <v>255</v>
      </c>
      <c r="H49" s="2" t="s">
        <v>165</v>
      </c>
    </row>
    <row r="50" s="3" customFormat="1" ht="16.5" spans="1:8">
      <c r="A50" s="1">
        <v>47</v>
      </c>
      <c r="B50" s="1">
        <v>47</v>
      </c>
      <c r="C50" s="1" t="s">
        <v>256</v>
      </c>
      <c r="D50" s="1">
        <v>292800000</v>
      </c>
      <c r="E50" s="1">
        <f t="shared" si="1"/>
        <v>12</v>
      </c>
      <c r="F50" s="7">
        <v>135071120477292</v>
      </c>
      <c r="G50" s="8" t="s">
        <v>257</v>
      </c>
      <c r="H50" s="2" t="s">
        <v>165</v>
      </c>
    </row>
    <row r="51" s="3" customFormat="1" ht="16.5" spans="1:8">
      <c r="A51" s="1">
        <v>48</v>
      </c>
      <c r="B51" s="1">
        <v>48</v>
      </c>
      <c r="C51" s="1" t="s">
        <v>258</v>
      </c>
      <c r="D51" s="1">
        <v>366000000</v>
      </c>
      <c r="E51" s="1">
        <f t="shared" si="1"/>
        <v>12</v>
      </c>
      <c r="F51" s="7">
        <v>73644651229136</v>
      </c>
      <c r="G51" s="8" t="s">
        <v>259</v>
      </c>
      <c r="H51" s="2" t="s">
        <v>165</v>
      </c>
    </row>
    <row r="52" s="3" customFormat="1" ht="16.5" spans="1:8">
      <c r="A52" s="1">
        <v>49</v>
      </c>
      <c r="B52" s="1">
        <v>49</v>
      </c>
      <c r="C52" s="1" t="s">
        <v>260</v>
      </c>
      <c r="D52" s="1">
        <v>610000000</v>
      </c>
      <c r="E52" s="1">
        <f t="shared" si="1"/>
        <v>13</v>
      </c>
      <c r="F52" s="7">
        <v>77926265714695</v>
      </c>
      <c r="G52" s="8" t="s">
        <v>261</v>
      </c>
      <c r="H52" s="2" t="s">
        <v>165</v>
      </c>
    </row>
    <row r="53" s="3" customFormat="1" ht="16.5" spans="1:8">
      <c r="A53" s="1">
        <v>50</v>
      </c>
      <c r="B53" s="1">
        <v>50</v>
      </c>
      <c r="C53" s="1" t="s">
        <v>262</v>
      </c>
      <c r="D53" s="1">
        <v>976000000</v>
      </c>
      <c r="E53" s="1">
        <f t="shared" si="1"/>
        <v>13</v>
      </c>
      <c r="F53" s="7">
        <v>82854353471706</v>
      </c>
      <c r="G53" s="8" t="s">
        <v>263</v>
      </c>
      <c r="H53" s="2" t="s">
        <v>165</v>
      </c>
    </row>
    <row r="54" s="3" customFormat="1" ht="16.5" spans="1:8">
      <c r="A54" s="1">
        <v>51</v>
      </c>
      <c r="B54" s="1">
        <v>51</v>
      </c>
      <c r="C54" s="1" t="s">
        <v>264</v>
      </c>
      <c r="D54" s="1">
        <v>1464000000</v>
      </c>
      <c r="E54" s="1">
        <f t="shared" si="1"/>
        <v>13</v>
      </c>
      <c r="F54" s="7">
        <v>77671502371070</v>
      </c>
      <c r="G54" s="8" t="s">
        <v>265</v>
      </c>
      <c r="H54" s="2" t="s">
        <v>165</v>
      </c>
    </row>
    <row r="55" s="3" customFormat="1" ht="16.5" spans="1:8">
      <c r="A55" s="1">
        <v>52</v>
      </c>
      <c r="B55" s="1">
        <v>52</v>
      </c>
      <c r="C55" s="1" t="s">
        <v>266</v>
      </c>
      <c r="D55" s="1">
        <v>1830000000</v>
      </c>
      <c r="E55" s="1">
        <f t="shared" si="1"/>
        <v>13</v>
      </c>
      <c r="F55" s="7">
        <v>70793360263168</v>
      </c>
      <c r="G55" s="8" t="s">
        <v>267</v>
      </c>
      <c r="H55" s="2" t="s">
        <v>165</v>
      </c>
    </row>
    <row r="56" s="3" customFormat="1" ht="16.5" spans="1:8">
      <c r="A56" s="1">
        <v>53</v>
      </c>
      <c r="B56" s="1">
        <v>53</v>
      </c>
      <c r="C56" s="1" t="s">
        <v>268</v>
      </c>
      <c r="D56" s="1">
        <v>3050000000</v>
      </c>
      <c r="E56" s="1">
        <f t="shared" si="1"/>
        <v>14</v>
      </c>
      <c r="F56" s="7">
        <v>84818213347817</v>
      </c>
      <c r="G56" s="8" t="s">
        <v>269</v>
      </c>
      <c r="H56" s="2" t="s">
        <v>165</v>
      </c>
    </row>
    <row r="57" s="3" customFormat="1" ht="16.5" spans="1:8">
      <c r="A57" s="1">
        <v>54</v>
      </c>
      <c r="B57" s="1">
        <v>54</v>
      </c>
      <c r="C57" s="1" t="s">
        <v>270</v>
      </c>
      <c r="D57" s="1">
        <v>4880000000</v>
      </c>
      <c r="E57" s="1">
        <f t="shared" si="1"/>
        <v>14</v>
      </c>
      <c r="F57" s="7">
        <v>91851759457969</v>
      </c>
      <c r="G57" s="8" t="s">
        <v>271</v>
      </c>
      <c r="H57" s="2" t="s">
        <v>165</v>
      </c>
    </row>
    <row r="58" s="3" customFormat="1" ht="16.5" spans="1:8">
      <c r="A58" s="1">
        <v>55</v>
      </c>
      <c r="B58" s="1">
        <v>55</v>
      </c>
      <c r="C58" s="1" t="s">
        <v>272</v>
      </c>
      <c r="D58" s="1">
        <v>7320000000</v>
      </c>
      <c r="E58" s="1">
        <f t="shared" si="1"/>
        <v>14</v>
      </c>
      <c r="F58" s="7">
        <v>121890208198805</v>
      </c>
      <c r="G58" s="8" t="s">
        <v>273</v>
      </c>
      <c r="H58" s="2" t="s">
        <v>165</v>
      </c>
    </row>
    <row r="59" s="3" customFormat="1" ht="16.5" spans="1:8">
      <c r="A59" s="1">
        <v>56</v>
      </c>
      <c r="B59" s="1">
        <v>56</v>
      </c>
      <c r="C59" s="1" t="s">
        <v>274</v>
      </c>
      <c r="D59" s="1">
        <v>9150000000</v>
      </c>
      <c r="E59" s="1">
        <f t="shared" si="1"/>
        <v>14</v>
      </c>
      <c r="F59" s="7">
        <v>117985852407168</v>
      </c>
      <c r="G59" s="8" t="s">
        <v>275</v>
      </c>
      <c r="H59" s="2" t="s">
        <v>165</v>
      </c>
    </row>
    <row r="60" s="3" customFormat="1" ht="16.5" spans="1:8">
      <c r="A60" s="1">
        <v>57</v>
      </c>
      <c r="B60" s="1">
        <v>57</v>
      </c>
      <c r="C60" s="1" t="s">
        <v>276</v>
      </c>
      <c r="D60" s="1">
        <v>15250000000</v>
      </c>
      <c r="E60" s="1">
        <f t="shared" si="1"/>
        <v>15</v>
      </c>
      <c r="F60" s="7">
        <v>97339206973141</v>
      </c>
      <c r="G60" s="8" t="s">
        <v>277</v>
      </c>
      <c r="H60" s="2" t="s">
        <v>165</v>
      </c>
    </row>
    <row r="61" s="3" customFormat="1" ht="16.5" spans="1:8">
      <c r="A61" s="1">
        <v>58</v>
      </c>
      <c r="B61" s="1">
        <v>58</v>
      </c>
      <c r="C61" s="1" t="s">
        <v>278</v>
      </c>
      <c r="D61" s="1">
        <v>24400000000</v>
      </c>
      <c r="E61" s="1">
        <f t="shared" si="1"/>
        <v>15</v>
      </c>
      <c r="F61" s="7">
        <v>91021502703797</v>
      </c>
      <c r="G61" s="8" t="s">
        <v>279</v>
      </c>
      <c r="H61" s="2" t="s">
        <v>165</v>
      </c>
    </row>
    <row r="62" s="3" customFormat="1" ht="16.5" spans="1:8">
      <c r="A62" s="1">
        <v>59</v>
      </c>
      <c r="B62" s="1">
        <v>59</v>
      </c>
      <c r="C62" s="1" t="s">
        <v>280</v>
      </c>
      <c r="D62" s="1">
        <v>36600000000</v>
      </c>
      <c r="E62" s="1">
        <f t="shared" si="1"/>
        <v>15</v>
      </c>
      <c r="F62" s="7">
        <v>118793829418414</v>
      </c>
      <c r="G62" s="8" t="s">
        <v>281</v>
      </c>
      <c r="H62" s="2" t="s">
        <v>165</v>
      </c>
    </row>
    <row r="63" s="3" customFormat="1" ht="16.5" spans="1:8">
      <c r="A63" s="1">
        <v>60</v>
      </c>
      <c r="B63" s="1">
        <v>60</v>
      </c>
      <c r="C63" s="1" t="s">
        <v>282</v>
      </c>
      <c r="D63" s="1">
        <v>45750000000</v>
      </c>
      <c r="E63" s="1">
        <f t="shared" si="1"/>
        <v>15</v>
      </c>
      <c r="F63" s="7">
        <v>108919245506457</v>
      </c>
      <c r="G63" s="8" t="s">
        <v>283</v>
      </c>
      <c r="H63" s="2" t="s">
        <v>165</v>
      </c>
    </row>
    <row r="64" s="3" customFormat="1" ht="16.5" spans="1:8">
      <c r="A64" s="1">
        <v>61</v>
      </c>
      <c r="B64" s="1">
        <v>61</v>
      </c>
      <c r="C64" s="1" t="s">
        <v>284</v>
      </c>
      <c r="D64" s="1">
        <v>76500000000</v>
      </c>
      <c r="E64" s="1">
        <f t="shared" si="1"/>
        <v>16</v>
      </c>
      <c r="F64" s="7">
        <v>135998992968408</v>
      </c>
      <c r="G64" s="8" t="s">
        <v>285</v>
      </c>
      <c r="H64" s="2" t="s">
        <v>165</v>
      </c>
    </row>
    <row r="65" s="3" customFormat="1" ht="16.5" spans="1:8">
      <c r="A65" s="1">
        <v>62</v>
      </c>
      <c r="B65" s="1">
        <v>62</v>
      </c>
      <c r="C65" s="1" t="s">
        <v>286</v>
      </c>
      <c r="D65" s="1">
        <v>122400000000</v>
      </c>
      <c r="E65" s="1">
        <f t="shared" si="1"/>
        <v>16</v>
      </c>
      <c r="F65" s="7">
        <v>124995167587191</v>
      </c>
      <c r="G65" s="8" t="s">
        <v>287</v>
      </c>
      <c r="H65" s="2" t="s">
        <v>165</v>
      </c>
    </row>
    <row r="66" s="3" customFormat="1" ht="16.5" spans="1:8">
      <c r="A66" s="1">
        <v>63</v>
      </c>
      <c r="B66" s="1">
        <v>63</v>
      </c>
      <c r="C66" s="1" t="s">
        <v>288</v>
      </c>
      <c r="D66" s="1">
        <v>183600000000</v>
      </c>
      <c r="E66" s="1">
        <f t="shared" si="1"/>
        <v>16</v>
      </c>
      <c r="F66" s="7">
        <v>100207039759139</v>
      </c>
      <c r="G66" s="8" t="s">
        <v>289</v>
      </c>
      <c r="H66" s="2" t="s">
        <v>165</v>
      </c>
    </row>
    <row r="67" s="3" customFormat="1" ht="16.5" spans="1:8">
      <c r="A67" s="1">
        <v>64</v>
      </c>
      <c r="B67" s="1">
        <v>64</v>
      </c>
      <c r="C67" s="1" t="s">
        <v>290</v>
      </c>
      <c r="D67" s="1">
        <v>229500000000</v>
      </c>
      <c r="E67" s="1">
        <f t="shared" si="1"/>
        <v>16</v>
      </c>
      <c r="F67" s="7">
        <v>117284808467540</v>
      </c>
      <c r="G67" s="8" t="s">
        <v>291</v>
      </c>
      <c r="H67" s="2" t="s">
        <v>165</v>
      </c>
    </row>
    <row r="68" s="3" customFormat="1" ht="16.5" spans="1:8">
      <c r="A68" s="1">
        <v>65</v>
      </c>
      <c r="B68" s="1">
        <v>65</v>
      </c>
      <c r="C68" s="1" t="s">
        <v>292</v>
      </c>
      <c r="D68" s="1">
        <v>381500000000</v>
      </c>
      <c r="E68" s="1">
        <f t="shared" si="1"/>
        <v>17</v>
      </c>
      <c r="F68" s="7">
        <v>100856293823266</v>
      </c>
      <c r="G68" s="8" t="s">
        <v>293</v>
      </c>
      <c r="H68" s="2" t="s">
        <v>165</v>
      </c>
    </row>
    <row r="69" s="3" customFormat="1" ht="16.5" spans="1:8">
      <c r="A69" s="1">
        <v>66</v>
      </c>
      <c r="B69" s="1">
        <v>66</v>
      </c>
      <c r="C69" s="1" t="s">
        <v>294</v>
      </c>
      <c r="D69" s="1">
        <v>610400000000</v>
      </c>
      <c r="E69" s="1">
        <f t="shared" si="1"/>
        <v>17</v>
      </c>
      <c r="F69" s="7">
        <v>131767978667574</v>
      </c>
      <c r="G69" s="8" t="s">
        <v>295</v>
      </c>
      <c r="H69" s="2" t="s">
        <v>165</v>
      </c>
    </row>
    <row r="70" s="3" customFormat="1" ht="16.5" spans="1:8">
      <c r="A70" s="1">
        <v>67</v>
      </c>
      <c r="B70" s="1">
        <v>67</v>
      </c>
      <c r="C70" s="1" t="s">
        <v>296</v>
      </c>
      <c r="D70" s="1">
        <v>915600000000</v>
      </c>
      <c r="E70" s="1">
        <f t="shared" si="1"/>
        <v>17</v>
      </c>
      <c r="F70" s="7">
        <v>137793066084531</v>
      </c>
      <c r="G70" s="8" t="s">
        <v>297</v>
      </c>
      <c r="H70" s="2" t="s">
        <v>165</v>
      </c>
    </row>
    <row r="71" s="3" customFormat="1" ht="16.5" spans="1:8">
      <c r="A71" s="1">
        <v>68</v>
      </c>
      <c r="B71" s="1">
        <v>68</v>
      </c>
      <c r="C71" s="1" t="s">
        <v>298</v>
      </c>
      <c r="D71" s="1">
        <v>1144500000000</v>
      </c>
      <c r="E71" s="1">
        <f t="shared" si="1"/>
        <v>17</v>
      </c>
      <c r="F71" s="7">
        <v>89446188580427</v>
      </c>
      <c r="G71" s="8" t="s">
        <v>299</v>
      </c>
      <c r="H71" s="2" t="s">
        <v>165</v>
      </c>
    </row>
    <row r="72" s="3" customFormat="1" ht="16.5" spans="1:8">
      <c r="A72" s="1">
        <v>69</v>
      </c>
      <c r="B72" s="1">
        <v>69</v>
      </c>
      <c r="C72" s="1" t="s">
        <v>300</v>
      </c>
      <c r="D72" s="1">
        <v>1905000000000</v>
      </c>
      <c r="E72" s="1">
        <f t="shared" si="1"/>
        <v>18</v>
      </c>
      <c r="F72" s="7">
        <v>122719253084629</v>
      </c>
      <c r="G72" s="8" t="s">
        <v>301</v>
      </c>
      <c r="H72" s="2" t="s">
        <v>165</v>
      </c>
    </row>
    <row r="73" s="3" customFormat="1" ht="16.5" spans="1:8">
      <c r="A73" s="1">
        <v>70</v>
      </c>
      <c r="B73" s="1">
        <v>70</v>
      </c>
      <c r="C73" s="1" t="s">
        <v>302</v>
      </c>
      <c r="D73" s="1">
        <v>3048000000000</v>
      </c>
      <c r="E73" s="1">
        <f>INT((ROW()-ROW(ItemData!$E$14))/4)+1</f>
        <v>15</v>
      </c>
      <c r="F73" s="7">
        <v>112549310275337</v>
      </c>
      <c r="G73" s="8" t="s">
        <v>303</v>
      </c>
      <c r="H73" s="2" t="s">
        <v>165</v>
      </c>
    </row>
    <row r="74" s="3" customFormat="1" ht="16.5" spans="1:8">
      <c r="A74" s="1">
        <v>71</v>
      </c>
      <c r="B74" s="1">
        <v>71</v>
      </c>
      <c r="C74" s="1" t="s">
        <v>304</v>
      </c>
      <c r="D74" s="1">
        <v>4572000000000</v>
      </c>
      <c r="E74" s="1">
        <f>INT((ROW()-ROW(ItemData!$E$14))/4)+1</f>
        <v>16</v>
      </c>
      <c r="F74" s="7">
        <v>88430290010781</v>
      </c>
      <c r="G74" s="8" t="s">
        <v>305</v>
      </c>
      <c r="H74" s="2" t="s">
        <v>165</v>
      </c>
    </row>
    <row r="75" s="3" customFormat="1" ht="16.5" spans="1:8">
      <c r="A75" s="1">
        <v>72</v>
      </c>
      <c r="B75" s="1">
        <v>72</v>
      </c>
      <c r="C75" s="1" t="s">
        <v>306</v>
      </c>
      <c r="D75" s="1">
        <v>5715000000000</v>
      </c>
      <c r="E75" s="1">
        <f>INT((ROW()-ROW(ItemData!$E$14))/4)+1</f>
        <v>16</v>
      </c>
      <c r="F75" s="7">
        <v>71786460797721</v>
      </c>
      <c r="G75" s="8" t="s">
        <v>307</v>
      </c>
      <c r="H75" s="2" t="s">
        <v>165</v>
      </c>
    </row>
    <row r="76" s="3" customFormat="1" ht="16.5" spans="1:8">
      <c r="A76" s="1">
        <v>73</v>
      </c>
      <c r="B76" s="1">
        <v>73</v>
      </c>
      <c r="C76" s="1" t="s">
        <v>308</v>
      </c>
      <c r="D76" s="1">
        <v>9550000000000</v>
      </c>
      <c r="E76" s="1">
        <f>INT((ROW()-ROW(ItemData!$E$14))/4)+1</f>
        <v>16</v>
      </c>
      <c r="F76" s="7">
        <v>97338088026484</v>
      </c>
      <c r="G76" s="8" t="s">
        <v>309</v>
      </c>
      <c r="H76" s="2" t="s">
        <v>165</v>
      </c>
    </row>
    <row r="77" s="3" customFormat="1" ht="16.5" spans="1:8">
      <c r="A77" s="1">
        <v>74</v>
      </c>
      <c r="B77" s="1">
        <v>74</v>
      </c>
      <c r="C77" s="1" t="s">
        <v>310</v>
      </c>
      <c r="D77" s="1">
        <v>15280000000000</v>
      </c>
      <c r="E77" s="1">
        <f>INT((ROW()-ROW(ItemData!$E$14))/4)+1</f>
        <v>16</v>
      </c>
      <c r="F77" s="7">
        <v>111210837018880</v>
      </c>
      <c r="G77" s="8" t="s">
        <v>311</v>
      </c>
      <c r="H77" s="2" t="s">
        <v>165</v>
      </c>
    </row>
    <row r="78" s="3" customFormat="1" ht="16.5" spans="1:8">
      <c r="A78" s="1">
        <v>75</v>
      </c>
      <c r="B78" s="1">
        <v>75</v>
      </c>
      <c r="C78" s="1" t="s">
        <v>312</v>
      </c>
      <c r="D78" s="1">
        <v>22920000000000</v>
      </c>
      <c r="E78" s="1">
        <f>INT((ROW()-ROW(ItemData!$E$14))/4)+1</f>
        <v>17</v>
      </c>
      <c r="F78" s="7">
        <v>91454753076661</v>
      </c>
      <c r="G78" s="8" t="s">
        <v>313</v>
      </c>
      <c r="H78" s="2" t="s">
        <v>165</v>
      </c>
    </row>
    <row r="79" s="3" customFormat="1" ht="16.5" spans="1:8">
      <c r="A79" s="1">
        <v>76</v>
      </c>
      <c r="B79" s="1">
        <v>76</v>
      </c>
      <c r="C79" s="1" t="s">
        <v>314</v>
      </c>
      <c r="D79" s="1">
        <v>28650000000000</v>
      </c>
      <c r="E79" s="1">
        <f>INT((ROW()-ROW(ItemData!$E$14))/4)+1</f>
        <v>17</v>
      </c>
      <c r="F79" s="7">
        <v>140372090697167</v>
      </c>
      <c r="G79" s="8" t="s">
        <v>315</v>
      </c>
      <c r="H79" s="2" t="s">
        <v>165</v>
      </c>
    </row>
    <row r="80" s="3" customFormat="1" ht="16.5" spans="1:8">
      <c r="A80" s="1">
        <v>77</v>
      </c>
      <c r="B80" s="1">
        <v>77</v>
      </c>
      <c r="C80" s="1" t="s">
        <v>316</v>
      </c>
      <c r="D80" s="1">
        <v>47700000000000</v>
      </c>
      <c r="E80" s="1">
        <f>INT((ROW()-ROW(ItemData!$E$14))/4)+1</f>
        <v>17</v>
      </c>
      <c r="F80" s="7">
        <v>85844805634635</v>
      </c>
      <c r="G80" s="8" t="s">
        <v>317</v>
      </c>
      <c r="H80" s="2" t="s">
        <v>165</v>
      </c>
    </row>
    <row r="81" s="3" customFormat="1" ht="16.5" spans="1:8">
      <c r="A81" s="1">
        <v>78</v>
      </c>
      <c r="B81" s="1">
        <v>78</v>
      </c>
      <c r="C81" s="1" t="s">
        <v>318</v>
      </c>
      <c r="D81" s="1">
        <v>76320000000000</v>
      </c>
      <c r="E81" s="1">
        <f>INT((ROW()-ROW(ItemData!$E$14))/4)+1</f>
        <v>17</v>
      </c>
      <c r="F81" s="7">
        <v>121461526979401</v>
      </c>
      <c r="G81" s="8" t="s">
        <v>319</v>
      </c>
      <c r="H81" s="2" t="s">
        <v>165</v>
      </c>
    </row>
    <row r="82" s="3" customFormat="1" ht="16.5" spans="1:8">
      <c r="A82" s="1">
        <v>79</v>
      </c>
      <c r="B82" s="1">
        <v>79</v>
      </c>
      <c r="C82" s="1" t="s">
        <v>320</v>
      </c>
      <c r="D82" s="1">
        <v>114480000000000</v>
      </c>
      <c r="E82" s="1">
        <f>INT((ROW()-ROW(ItemData!$E$14))/4)+1</f>
        <v>18</v>
      </c>
      <c r="F82" s="7">
        <v>119745475735524</v>
      </c>
      <c r="G82" s="8" t="s">
        <v>321</v>
      </c>
      <c r="H82" s="2" t="s">
        <v>165</v>
      </c>
    </row>
    <row r="83" s="3" customFormat="1" ht="16.5" spans="1:8">
      <c r="A83" s="1">
        <v>80</v>
      </c>
      <c r="B83" s="1">
        <v>80</v>
      </c>
      <c r="C83" s="1" t="s">
        <v>322</v>
      </c>
      <c r="D83" s="1">
        <v>143100000000000</v>
      </c>
      <c r="E83" s="1">
        <f>INT((ROW()-ROW(ItemData!$E$14))/4)+1</f>
        <v>18</v>
      </c>
      <c r="F83" s="7">
        <v>101894479505985</v>
      </c>
      <c r="G83" s="8" t="s">
        <v>323</v>
      </c>
      <c r="H83" s="2" t="s">
        <v>165</v>
      </c>
    </row>
    <row r="84" s="3" customFormat="1" ht="16.5" spans="1:8">
      <c r="A84" s="1">
        <v>81</v>
      </c>
      <c r="B84" s="1">
        <v>81</v>
      </c>
      <c r="C84" s="1" t="s">
        <v>324</v>
      </c>
      <c r="D84" s="1">
        <v>238500000000000</v>
      </c>
      <c r="E84" s="1">
        <f>INT((ROW()-ROW(ItemData!$E$14))/4)+1</f>
        <v>18</v>
      </c>
      <c r="F84" s="7">
        <v>130984354600200</v>
      </c>
      <c r="G84" s="8" t="s">
        <v>325</v>
      </c>
      <c r="H84" s="2" t="s">
        <v>165</v>
      </c>
    </row>
    <row r="85" s="3" customFormat="1" ht="16.5" spans="1:8">
      <c r="A85" s="1">
        <v>82</v>
      </c>
      <c r="B85" s="1">
        <v>82</v>
      </c>
      <c r="C85" s="1" t="s">
        <v>326</v>
      </c>
      <c r="D85" s="1">
        <v>381600000000000</v>
      </c>
      <c r="E85" s="1">
        <f>INT((ROW()-ROW(ItemData!$E$14))/4)+1</f>
        <v>18</v>
      </c>
      <c r="F85" s="7">
        <v>139575750428458</v>
      </c>
      <c r="G85" s="8" t="s">
        <v>327</v>
      </c>
      <c r="H85" s="2" t="s">
        <v>165</v>
      </c>
    </row>
    <row r="86" s="3" customFormat="1" ht="16.5" spans="1:8">
      <c r="A86" s="1">
        <v>83</v>
      </c>
      <c r="B86" s="1">
        <v>83</v>
      </c>
      <c r="C86" s="1" t="s">
        <v>328</v>
      </c>
      <c r="D86" s="1">
        <v>572400000000000</v>
      </c>
      <c r="E86" s="1">
        <f>INT((ROW()-ROW(ItemData!$E$14))/4)+1</f>
        <v>19</v>
      </c>
      <c r="F86" s="7">
        <v>111543784097462</v>
      </c>
      <c r="G86" s="8" t="s">
        <v>329</v>
      </c>
      <c r="H86" s="2" t="s">
        <v>165</v>
      </c>
    </row>
    <row r="87" s="3" customFormat="1" ht="16.5" spans="1:8">
      <c r="A87" s="1">
        <v>84</v>
      </c>
      <c r="B87" s="1">
        <v>84</v>
      </c>
      <c r="C87" s="1" t="s">
        <v>330</v>
      </c>
      <c r="D87" s="1">
        <v>715500000000000</v>
      </c>
      <c r="E87" s="1">
        <f>INT((ROW()-ROW(ItemData!$E$14))/4)+1</f>
        <v>19</v>
      </c>
      <c r="F87" s="7">
        <v>104244387773955</v>
      </c>
      <c r="G87" s="8" t="s">
        <v>331</v>
      </c>
      <c r="H87" s="2" t="s">
        <v>165</v>
      </c>
    </row>
    <row r="88" s="3" customFormat="1" ht="16.5" spans="1:8">
      <c r="A88" s="1">
        <v>85</v>
      </c>
      <c r="B88" s="1">
        <v>85</v>
      </c>
      <c r="C88" s="1" t="s">
        <v>332</v>
      </c>
      <c r="D88" s="1">
        <v>1190000000000000</v>
      </c>
      <c r="E88" s="1">
        <f>INT((ROW()-ROW(ItemData!$E$14))/4)+1</f>
        <v>19</v>
      </c>
      <c r="F88" s="7">
        <v>136776890462387</v>
      </c>
      <c r="G88" s="8" t="s">
        <v>333</v>
      </c>
      <c r="H88" s="2" t="s">
        <v>165</v>
      </c>
    </row>
    <row r="89" s="3" customFormat="1" ht="16.5" spans="1:8">
      <c r="A89" s="1">
        <v>86</v>
      </c>
      <c r="B89" s="1">
        <v>86</v>
      </c>
      <c r="C89" s="1" t="s">
        <v>334</v>
      </c>
      <c r="D89" s="1">
        <v>1904000000000000</v>
      </c>
      <c r="E89" s="1">
        <f>INT((ROW()-ROW(ItemData!$E$14))/4)+1</f>
        <v>19</v>
      </c>
      <c r="F89" s="7">
        <v>126165124926341</v>
      </c>
      <c r="G89" s="8" t="s">
        <v>335</v>
      </c>
      <c r="H89" s="2" t="s">
        <v>165</v>
      </c>
    </row>
    <row r="90" s="3" customFormat="1" ht="16.5" spans="1:8">
      <c r="A90" s="1">
        <v>87</v>
      </c>
      <c r="B90" s="1">
        <v>87</v>
      </c>
      <c r="C90" s="1" t="s">
        <v>336</v>
      </c>
      <c r="D90" s="1">
        <v>2856000000000000</v>
      </c>
      <c r="E90" s="1">
        <f>INT((ROW()-ROW(ItemData!$E$14))/4)+1</f>
        <v>20</v>
      </c>
      <c r="F90" s="7">
        <v>76143760243972</v>
      </c>
      <c r="G90" s="8" t="s">
        <v>337</v>
      </c>
      <c r="H90" s="2" t="s">
        <v>165</v>
      </c>
    </row>
    <row r="91" s="3" customFormat="1" ht="16.5" spans="1:8">
      <c r="A91" s="1">
        <v>88</v>
      </c>
      <c r="B91" s="1">
        <v>88</v>
      </c>
      <c r="C91" s="1" t="s">
        <v>338</v>
      </c>
      <c r="D91" s="1">
        <v>3570000000000000</v>
      </c>
      <c r="E91" s="1">
        <f>INT((ROW()-ROW(ItemData!$E$14))/4)+1</f>
        <v>20</v>
      </c>
      <c r="F91" s="7">
        <v>73975383470183</v>
      </c>
      <c r="G91" s="8" t="s">
        <v>339</v>
      </c>
      <c r="H91" s="2" t="s">
        <v>165</v>
      </c>
    </row>
    <row r="92" s="3" customFormat="1" ht="16.5" spans="1:8">
      <c r="A92" s="1">
        <v>89</v>
      </c>
      <c r="B92" s="1">
        <v>89</v>
      </c>
      <c r="C92" s="1" t="s">
        <v>340</v>
      </c>
      <c r="D92" s="1">
        <v>5950000000000000</v>
      </c>
      <c r="E92" s="1">
        <f>INT((ROW()-ROW(ItemData!$E$14))/4)+1</f>
        <v>20</v>
      </c>
      <c r="F92" s="7">
        <v>110779582383706</v>
      </c>
      <c r="G92" s="8" t="s">
        <v>341</v>
      </c>
      <c r="H92" s="2" t="s">
        <v>165</v>
      </c>
    </row>
    <row r="93" s="3" customFormat="1" ht="16.5" spans="1:8">
      <c r="A93" s="1">
        <v>90</v>
      </c>
      <c r="B93" s="1">
        <v>90</v>
      </c>
      <c r="C93" s="1" t="s">
        <v>342</v>
      </c>
      <c r="D93" s="1">
        <v>9520000000000000</v>
      </c>
      <c r="E93" s="1">
        <f>INT((ROW()-ROW(ItemData!$E$14))/4)+1</f>
        <v>20</v>
      </c>
      <c r="F93" s="7">
        <v>139231009266383</v>
      </c>
      <c r="G93" s="8" t="s">
        <v>343</v>
      </c>
      <c r="H93" s="2" t="s">
        <v>165</v>
      </c>
    </row>
    <row r="94" s="3" customFormat="1" ht="16.5" spans="1:8">
      <c r="A94" s="1">
        <v>91</v>
      </c>
      <c r="B94" s="1">
        <v>91</v>
      </c>
      <c r="C94" s="1" t="s">
        <v>344</v>
      </c>
      <c r="D94" s="1">
        <v>1.428e+16</v>
      </c>
      <c r="E94" s="1">
        <f>INT((ROW()-ROW(ItemData!$E$14))/4)+1</f>
        <v>21</v>
      </c>
      <c r="F94" s="7">
        <v>122330740858585</v>
      </c>
      <c r="G94" s="8" t="s">
        <v>345</v>
      </c>
      <c r="H94" s="2" t="s">
        <v>165</v>
      </c>
    </row>
    <row r="95" s="3" customFormat="1" ht="16.5" spans="1:8">
      <c r="A95" s="1">
        <v>92</v>
      </c>
      <c r="B95" s="1">
        <v>92</v>
      </c>
      <c r="C95" s="1" t="s">
        <v>346</v>
      </c>
      <c r="D95" s="1">
        <v>1.785e+16</v>
      </c>
      <c r="E95" s="1">
        <f>INT((ROW()-ROW(ItemData!$E$14))/4)+1</f>
        <v>21</v>
      </c>
      <c r="F95" s="7">
        <v>117103663687356</v>
      </c>
      <c r="G95" s="8" t="s">
        <v>347</v>
      </c>
      <c r="H95" s="2" t="s">
        <v>165</v>
      </c>
    </row>
    <row r="96" s="3" customFormat="1" ht="16.5" spans="1:8">
      <c r="A96" s="1">
        <v>93</v>
      </c>
      <c r="B96" s="1">
        <v>93</v>
      </c>
      <c r="C96" s="1" t="s">
        <v>348</v>
      </c>
      <c r="D96" s="1">
        <v>2.98e+16</v>
      </c>
      <c r="E96" s="1">
        <f>INT((ROW()-ROW(ItemData!$E$14))/4)+1</f>
        <v>21</v>
      </c>
      <c r="F96" s="7">
        <v>103139070075508</v>
      </c>
      <c r="G96" s="8" t="s">
        <v>349</v>
      </c>
      <c r="H96" s="2" t="s">
        <v>165</v>
      </c>
    </row>
    <row r="97" s="3" customFormat="1" ht="16.5" spans="1:9">
      <c r="A97" s="1">
        <v>94</v>
      </c>
      <c r="B97" s="1">
        <v>94</v>
      </c>
      <c r="C97" s="1" t="s">
        <v>350</v>
      </c>
      <c r="D97" s="1">
        <v>4.768e+16</v>
      </c>
      <c r="E97" s="1">
        <f>INT((ROW()-ROW(ItemData!$E$14))/4)+1</f>
        <v>21</v>
      </c>
      <c r="F97" s="7">
        <v>88725487654147</v>
      </c>
      <c r="G97" s="8" t="s">
        <v>351</v>
      </c>
      <c r="H97" s="2" t="s">
        <v>165</v>
      </c>
    </row>
    <row r="98" s="3" customFormat="1" ht="16.5" spans="1:9">
      <c r="A98" s="1">
        <v>95</v>
      </c>
      <c r="B98" s="1">
        <v>95</v>
      </c>
      <c r="C98" s="1" t="s">
        <v>352</v>
      </c>
      <c r="D98" s="1">
        <v>7.152e+16</v>
      </c>
      <c r="E98" s="1">
        <f>INT((ROW()-ROW(ItemData!$E$14))/4)+1</f>
        <v>22</v>
      </c>
      <c r="F98" s="7">
        <v>72100736251601</v>
      </c>
      <c r="G98" s="8" t="s">
        <v>353</v>
      </c>
      <c r="H98" s="2" t="s">
        <v>165</v>
      </c>
    </row>
    <row r="99" s="3" customFormat="1" ht="16.5" spans="1:9">
      <c r="A99" s="1">
        <v>96</v>
      </c>
      <c r="B99" s="1">
        <v>96</v>
      </c>
      <c r="C99" s="1" t="s">
        <v>354</v>
      </c>
      <c r="D99" s="1">
        <v>8.94e+16</v>
      </c>
      <c r="E99" s="1">
        <f>INT((ROW()-ROW(ItemData!$E$14))/4)+1</f>
        <v>22</v>
      </c>
      <c r="F99" s="7">
        <v>95625760850047</v>
      </c>
      <c r="G99" s="8" t="s">
        <v>355</v>
      </c>
      <c r="H99" s="2" t="s">
        <v>165</v>
      </c>
    </row>
    <row r="100" s="3" customFormat="1" ht="16.5" spans="1:9">
      <c r="A100" s="1">
        <v>97</v>
      </c>
      <c r="B100" s="1">
        <v>97</v>
      </c>
      <c r="C100" s="1" t="s">
        <v>356</v>
      </c>
      <c r="D100" s="1">
        <v>1.49e+17</v>
      </c>
      <c r="E100" s="1">
        <f>INT((ROW()-ROW(ItemData!$E$14))/4)+1</f>
        <v>22</v>
      </c>
      <c r="F100" s="7">
        <v>110809850119673</v>
      </c>
      <c r="G100" s="8" t="s">
        <v>357</v>
      </c>
      <c r="H100" s="2" t="s">
        <v>165</v>
      </c>
    </row>
    <row r="101" s="3" customFormat="1" ht="16.5" spans="1:9">
      <c r="A101" s="1">
        <v>98</v>
      </c>
      <c r="B101" s="1">
        <v>98</v>
      </c>
      <c r="C101" s="1" t="s">
        <v>358</v>
      </c>
      <c r="D101" s="1">
        <v>2.384e+17</v>
      </c>
      <c r="E101" s="1">
        <f>INT((ROW()-ROW(ItemData!$E$14))/4)+1</f>
        <v>22</v>
      </c>
      <c r="F101" s="7">
        <v>128268169997293</v>
      </c>
      <c r="G101" s="8" t="s">
        <v>359</v>
      </c>
      <c r="H101" s="2" t="s">
        <v>165</v>
      </c>
    </row>
    <row r="102" s="3" customFormat="1" ht="16.5" spans="1:9">
      <c r="A102" s="1">
        <v>99</v>
      </c>
      <c r="B102" s="1">
        <v>99</v>
      </c>
      <c r="C102" s="1" t="s">
        <v>360</v>
      </c>
      <c r="D102" s="1">
        <v>3.576e+17</v>
      </c>
      <c r="E102" s="1">
        <f>INT((ROW()-ROW(ItemData!$E$14))/4)+1</f>
        <v>23</v>
      </c>
      <c r="F102" s="7">
        <v>81568443921942</v>
      </c>
      <c r="G102" s="8" t="s">
        <v>361</v>
      </c>
      <c r="H102" s="2" t="s">
        <v>165</v>
      </c>
    </row>
    <row r="103" s="3" customFormat="1" ht="16.5" spans="1:9">
      <c r="A103" s="1">
        <v>100</v>
      </c>
      <c r="B103" s="1">
        <v>100</v>
      </c>
      <c r="C103" s="1" t="s">
        <v>362</v>
      </c>
      <c r="D103" s="1">
        <v>4.47e+17</v>
      </c>
      <c r="E103" s="1">
        <f>INT((ROW()-ROW(ItemData!$E$14))/4)+1</f>
        <v>23</v>
      </c>
      <c r="F103" s="7">
        <v>80275546299866</v>
      </c>
      <c r="G103" s="8" t="s">
        <v>363</v>
      </c>
      <c r="H103" s="2" t="s">
        <v>165</v>
      </c>
    </row>
    <row r="104" s="3" customFormat="1" ht="16.5" spans="1:9">
      <c r="A104" s="1">
        <v>101</v>
      </c>
      <c r="B104" s="1">
        <v>101</v>
      </c>
      <c r="C104" s="1" t="s">
        <v>364</v>
      </c>
      <c r="D104" s="1">
        <v>7.45e+17</v>
      </c>
      <c r="E104" s="1">
        <f>INT((ROW()-ROW(ItemData!$E$14))/4)+1</f>
        <v>23</v>
      </c>
      <c r="F104" s="7">
        <v>104304476590207</v>
      </c>
      <c r="G104" s="8" t="s">
        <v>365</v>
      </c>
      <c r="H104" s="2" t="s">
        <v>165</v>
      </c>
    </row>
    <row r="105" s="3" customFormat="1" ht="16.5" spans="1:9">
      <c r="A105" s="1">
        <v>102</v>
      </c>
      <c r="B105" s="1">
        <v>102</v>
      </c>
      <c r="C105" s="1" t="s">
        <v>366</v>
      </c>
      <c r="D105" s="1">
        <v>1.192e+18</v>
      </c>
      <c r="E105" s="1">
        <f>INT((ROW()-ROW(ItemData!$E$14))/4)+1</f>
        <v>23</v>
      </c>
      <c r="F105" s="7">
        <v>129658959682028</v>
      </c>
      <c r="G105" s="8" t="s">
        <v>367</v>
      </c>
      <c r="H105" s="2" t="s">
        <v>165</v>
      </c>
    </row>
    <row r="106" s="3" customFormat="1" ht="16.5" spans="1:9">
      <c r="A106" s="1">
        <v>103</v>
      </c>
      <c r="B106" s="1">
        <v>103</v>
      </c>
      <c r="C106" s="1" t="s">
        <v>368</v>
      </c>
      <c r="D106" s="1">
        <v>1.788e+18</v>
      </c>
      <c r="E106" s="1">
        <f>INT((ROW()-ROW(ItemData!$E$14))/4)+1</f>
        <v>24</v>
      </c>
      <c r="F106" s="7">
        <v>91807501817775</v>
      </c>
      <c r="G106" s="8" t="s">
        <v>369</v>
      </c>
      <c r="H106" s="2" t="s">
        <v>165</v>
      </c>
    </row>
    <row r="107" s="3" customFormat="1" ht="16.5" spans="1:9">
      <c r="A107" s="1">
        <v>104</v>
      </c>
      <c r="B107" s="1">
        <v>104</v>
      </c>
      <c r="C107" s="1" t="s">
        <v>370</v>
      </c>
      <c r="D107" s="1">
        <v>2.235e+18</v>
      </c>
      <c r="E107" s="1">
        <f>INT((ROW()-ROW(ItemData!$E$14))/4)+1</f>
        <v>24</v>
      </c>
      <c r="F107" s="7">
        <v>119033390105144</v>
      </c>
      <c r="G107" s="8" t="s">
        <v>371</v>
      </c>
      <c r="H107" s="2" t="s">
        <v>165</v>
      </c>
    </row>
    <row r="108" ht="16.5" spans="1:9">
      <c r="A108" s="1">
        <v>105</v>
      </c>
      <c r="B108" s="1">
        <v>105</v>
      </c>
      <c r="C108" s="1" t="s">
        <v>372</v>
      </c>
      <c r="D108" s="1">
        <v>3.725e+18</v>
      </c>
      <c r="E108" s="1">
        <v>24</v>
      </c>
      <c r="F108" s="7">
        <v>96459025721039</v>
      </c>
      <c r="G108" s="8" t="s">
        <v>373</v>
      </c>
      <c r="H108" s="2" t="s">
        <v>165</v>
      </c>
      <c r="I108" s="3"/>
    </row>
    <row r="109" ht="16.5" spans="1:9">
      <c r="A109" s="1">
        <v>106</v>
      </c>
      <c r="B109" s="1">
        <v>106</v>
      </c>
      <c r="C109" s="1" t="s">
        <v>374</v>
      </c>
      <c r="D109" s="1">
        <v>5.96e+18</v>
      </c>
      <c r="E109" s="1">
        <v>24</v>
      </c>
      <c r="F109" s="7">
        <v>138981227536547</v>
      </c>
      <c r="G109" s="8" t="s">
        <v>375</v>
      </c>
      <c r="H109" s="2" t="s">
        <v>165</v>
      </c>
      <c r="I109" s="3"/>
    </row>
    <row r="110" ht="16.5" spans="1:9">
      <c r="A110" s="1">
        <v>107</v>
      </c>
      <c r="B110" s="1">
        <v>107</v>
      </c>
      <c r="C110" s="1" t="s">
        <v>376</v>
      </c>
      <c r="D110" s="1">
        <v>8.94e+18</v>
      </c>
      <c r="E110" s="1">
        <v>25</v>
      </c>
      <c r="F110" s="7">
        <v>119423227657745</v>
      </c>
      <c r="G110" s="8" t="s">
        <v>377</v>
      </c>
      <c r="H110" s="2" t="s">
        <v>165</v>
      </c>
      <c r="I110" s="3"/>
    </row>
    <row r="111" ht="16.5" spans="1:9">
      <c r="A111" s="1">
        <v>108</v>
      </c>
      <c r="B111" s="1">
        <v>108</v>
      </c>
      <c r="C111" s="1" t="s">
        <v>378</v>
      </c>
      <c r="D111" s="1">
        <v>1.1175e+19</v>
      </c>
      <c r="E111" s="1">
        <v>25</v>
      </c>
      <c r="F111" s="7">
        <v>96126442221467</v>
      </c>
      <c r="G111" s="8" t="s">
        <v>379</v>
      </c>
      <c r="H111" s="2" t="s">
        <v>165</v>
      </c>
      <c r="I111" s="3"/>
    </row>
    <row r="112" ht="16.5" spans="1:9">
      <c r="A112" s="1">
        <v>109</v>
      </c>
      <c r="B112" s="1">
        <v>109</v>
      </c>
      <c r="C112" s="1" t="s">
        <v>380</v>
      </c>
      <c r="D112" s="1">
        <v>1.865e+19</v>
      </c>
      <c r="E112" s="1">
        <v>25</v>
      </c>
      <c r="F112" s="7">
        <v>115960927208349</v>
      </c>
      <c r="G112" s="8" t="s">
        <v>381</v>
      </c>
      <c r="H112" s="2" t="s">
        <v>165</v>
      </c>
      <c r="I112" s="3"/>
    </row>
    <row r="113" ht="16.5" spans="1:9">
      <c r="A113" s="1">
        <v>110</v>
      </c>
      <c r="B113" s="1">
        <v>110</v>
      </c>
      <c r="C113" s="1" t="s">
        <v>382</v>
      </c>
      <c r="D113" s="1">
        <v>2.984e+19</v>
      </c>
      <c r="E113" s="1">
        <v>25</v>
      </c>
      <c r="F113" s="7">
        <v>130983706534388</v>
      </c>
      <c r="G113" s="8" t="s">
        <v>383</v>
      </c>
      <c r="H113" s="2" t="s">
        <v>165</v>
      </c>
      <c r="I113" s="3"/>
    </row>
    <row r="114" ht="16.5" spans="1:9">
      <c r="A114" s="1">
        <v>111</v>
      </c>
      <c r="B114" s="1">
        <v>111</v>
      </c>
      <c r="C114" s="1" t="s">
        <v>384</v>
      </c>
      <c r="D114" s="1">
        <v>4.476e+19</v>
      </c>
      <c r="E114" s="1">
        <v>26</v>
      </c>
      <c r="F114" s="7">
        <v>95831043321895</v>
      </c>
      <c r="G114" s="8" t="s">
        <v>385</v>
      </c>
      <c r="H114" s="2" t="s">
        <v>165</v>
      </c>
      <c r="I114" s="3"/>
    </row>
    <row r="115" ht="16.5" spans="1:9">
      <c r="A115" s="1">
        <v>112</v>
      </c>
      <c r="B115" s="1">
        <v>112</v>
      </c>
      <c r="C115" s="1" t="s">
        <v>386</v>
      </c>
      <c r="D115" s="1">
        <v>5.595e+19</v>
      </c>
      <c r="E115" s="1">
        <v>26</v>
      </c>
      <c r="F115" s="7">
        <v>112143431254973</v>
      </c>
      <c r="G115" s="8" t="s">
        <v>387</v>
      </c>
      <c r="H115" s="2" t="s">
        <v>165</v>
      </c>
      <c r="I115" s="3"/>
    </row>
    <row r="116" ht="16.5" spans="1:9">
      <c r="A116" s="1">
        <v>113</v>
      </c>
      <c r="B116" s="1">
        <v>113</v>
      </c>
      <c r="C116" s="1" t="s">
        <v>388</v>
      </c>
      <c r="D116" s="1">
        <v>9.3e+19</v>
      </c>
      <c r="E116" s="1">
        <v>26</v>
      </c>
      <c r="F116" s="7">
        <v>118258115873868</v>
      </c>
      <c r="G116" s="8" t="s">
        <v>389</v>
      </c>
      <c r="H116" s="2" t="s">
        <v>165</v>
      </c>
      <c r="I116" s="3"/>
    </row>
    <row r="117" ht="16.5" spans="1:9">
      <c r="A117" s="1">
        <v>114</v>
      </c>
      <c r="B117" s="1">
        <v>114</v>
      </c>
      <c r="C117" s="1" t="s">
        <v>390</v>
      </c>
      <c r="D117" s="1">
        <v>1.488e+20</v>
      </c>
      <c r="E117" s="1">
        <v>26</v>
      </c>
      <c r="F117" s="7">
        <v>78313318872069</v>
      </c>
      <c r="G117" s="8" t="s">
        <v>391</v>
      </c>
      <c r="H117" s="2" t="s">
        <v>165</v>
      </c>
      <c r="I117" s="3"/>
    </row>
    <row r="118" ht="16.5" spans="1:9">
      <c r="A118" s="1">
        <v>115</v>
      </c>
      <c r="B118" s="1">
        <v>115</v>
      </c>
      <c r="C118" s="1" t="s">
        <v>392</v>
      </c>
      <c r="D118" s="1">
        <v>2.232e+20</v>
      </c>
      <c r="E118" s="1">
        <v>27</v>
      </c>
      <c r="F118" s="7">
        <v>125592304728045</v>
      </c>
      <c r="G118" s="8" t="s">
        <v>393</v>
      </c>
      <c r="H118" s="2" t="s">
        <v>165</v>
      </c>
      <c r="I118" s="3"/>
    </row>
    <row r="119" ht="16.5" spans="1:9">
      <c r="A119" s="1">
        <v>116</v>
      </c>
      <c r="B119" s="1">
        <v>116</v>
      </c>
      <c r="C119" s="1" t="s">
        <v>394</v>
      </c>
      <c r="D119" s="1">
        <v>2.79e+20</v>
      </c>
      <c r="E119" s="1">
        <v>27</v>
      </c>
      <c r="F119" s="7">
        <v>80137167951870</v>
      </c>
      <c r="G119" s="8" t="s">
        <v>395</v>
      </c>
      <c r="H119" s="2" t="s">
        <v>165</v>
      </c>
      <c r="I119" s="3"/>
    </row>
    <row r="120" ht="16.5" spans="1:9">
      <c r="A120" s="1">
        <v>117</v>
      </c>
      <c r="B120" s="1">
        <v>117</v>
      </c>
      <c r="C120" s="1" t="s">
        <v>396</v>
      </c>
      <c r="D120" s="1">
        <v>4.655e+20</v>
      </c>
      <c r="E120" s="1">
        <v>27</v>
      </c>
      <c r="F120" s="7">
        <v>73282351047760</v>
      </c>
      <c r="G120" s="8" t="s">
        <v>397</v>
      </c>
      <c r="H120" s="2" t="s">
        <v>165</v>
      </c>
      <c r="I120" s="3"/>
    </row>
    <row r="121" ht="16.5" spans="1:9">
      <c r="A121" s="1">
        <v>118</v>
      </c>
      <c r="B121" s="1">
        <v>118</v>
      </c>
      <c r="C121" s="1" t="s">
        <v>398</v>
      </c>
      <c r="D121" s="1">
        <v>7.448e+20</v>
      </c>
      <c r="E121" s="1">
        <v>27</v>
      </c>
      <c r="F121" s="7">
        <v>103255430368191</v>
      </c>
      <c r="G121" s="8" t="s">
        <v>399</v>
      </c>
      <c r="H121" s="2" t="s">
        <v>165</v>
      </c>
      <c r="I121" s="3"/>
    </row>
    <row r="122" ht="16.5" spans="1:9">
      <c r="A122" s="1">
        <v>119</v>
      </c>
      <c r="B122" s="1">
        <v>119</v>
      </c>
      <c r="C122" s="1" t="s">
        <v>400</v>
      </c>
      <c r="D122" s="1">
        <v>1.1172e+21</v>
      </c>
      <c r="E122" s="1">
        <v>28</v>
      </c>
      <c r="F122" s="7">
        <v>116294264954356</v>
      </c>
      <c r="G122" s="8" t="s">
        <v>401</v>
      </c>
      <c r="H122" s="2" t="s">
        <v>165</v>
      </c>
      <c r="I122" s="3"/>
    </row>
    <row r="123" ht="16.5" spans="1:9">
      <c r="A123" s="1">
        <v>120</v>
      </c>
      <c r="B123" s="1">
        <v>120</v>
      </c>
      <c r="C123" s="1" t="s">
        <v>402</v>
      </c>
      <c r="D123" s="1">
        <v>1.3965e+21</v>
      </c>
      <c r="E123" s="1">
        <v>28</v>
      </c>
      <c r="F123" s="7">
        <v>125743373452231</v>
      </c>
      <c r="G123" s="8" t="s">
        <v>403</v>
      </c>
      <c r="H123" s="2" t="s">
        <v>165</v>
      </c>
      <c r="I123" s="3"/>
    </row>
    <row r="124" ht="16.5" spans="1:9">
      <c r="A124" s="1">
        <v>121</v>
      </c>
      <c r="B124" s="1">
        <v>121</v>
      </c>
      <c r="C124" s="1" t="s">
        <v>404</v>
      </c>
      <c r="D124" s="1">
        <v>2.33e+21</v>
      </c>
      <c r="E124" s="1">
        <v>28</v>
      </c>
      <c r="F124" s="7">
        <v>112421216883327</v>
      </c>
      <c r="G124" s="8" t="s">
        <v>405</v>
      </c>
      <c r="H124" s="2" t="s">
        <v>165</v>
      </c>
      <c r="I124" s="3"/>
    </row>
    <row r="125" ht="16.5" spans="1:9">
      <c r="A125" s="1">
        <v>122</v>
      </c>
      <c r="B125" s="1">
        <v>122</v>
      </c>
      <c r="C125" s="9" t="s">
        <v>406</v>
      </c>
      <c r="D125" s="1">
        <v>3.728e+21</v>
      </c>
      <c r="E125" s="1">
        <v>28</v>
      </c>
      <c r="F125" s="7">
        <v>91269915478196</v>
      </c>
      <c r="G125" s="8" t="s">
        <v>407</v>
      </c>
      <c r="H125" s="2" t="s">
        <v>165</v>
      </c>
    </row>
    <row r="126" ht="16.5" spans="1:9">
      <c r="A126" s="1">
        <v>123</v>
      </c>
      <c r="B126" s="1">
        <v>123</v>
      </c>
      <c r="C126" s="9" t="s">
        <v>408</v>
      </c>
      <c r="D126" s="1">
        <v>5.592e+21</v>
      </c>
      <c r="E126" s="1">
        <v>29</v>
      </c>
      <c r="F126" s="7">
        <v>105465120437268</v>
      </c>
      <c r="G126" s="8" t="s">
        <v>409</v>
      </c>
      <c r="H126" s="2" t="s">
        <v>165</v>
      </c>
    </row>
    <row r="127" ht="16.5" spans="1:9">
      <c r="A127" s="1">
        <v>124</v>
      </c>
      <c r="B127" s="1">
        <v>124</v>
      </c>
      <c r="C127" s="9" t="s">
        <v>410</v>
      </c>
      <c r="D127" s="1">
        <v>6.99e+21</v>
      </c>
      <c r="E127" s="1">
        <v>29</v>
      </c>
      <c r="F127" s="7">
        <v>83111312306519</v>
      </c>
      <c r="G127" s="8" t="s">
        <v>411</v>
      </c>
      <c r="H127" s="2" t="s">
        <v>165</v>
      </c>
    </row>
    <row r="128" ht="16.5" spans="1:9">
      <c r="A128" s="1">
        <v>125</v>
      </c>
      <c r="B128" s="1">
        <v>125</v>
      </c>
      <c r="C128" s="9" t="s">
        <v>412</v>
      </c>
      <c r="D128" s="1">
        <v>1.165e+22</v>
      </c>
      <c r="E128" s="1">
        <v>29</v>
      </c>
      <c r="F128" s="7">
        <v>100761293408985</v>
      </c>
      <c r="G128" s="8" t="s">
        <v>413</v>
      </c>
      <c r="H128" s="2" t="s">
        <v>165</v>
      </c>
    </row>
    <row r="129" ht="16.5" spans="1:8">
      <c r="A129" s="1">
        <v>126</v>
      </c>
      <c r="B129" s="1">
        <v>126</v>
      </c>
      <c r="C129" s="9" t="s">
        <v>414</v>
      </c>
      <c r="D129" s="1">
        <v>1.864e+22</v>
      </c>
      <c r="E129" s="1">
        <v>29</v>
      </c>
      <c r="F129" s="7">
        <v>125949085124996</v>
      </c>
      <c r="G129" s="8" t="s">
        <v>415</v>
      </c>
      <c r="H129" s="2" t="s">
        <v>165</v>
      </c>
    </row>
    <row r="130" ht="16.5" spans="1:8">
      <c r="A130" s="1">
        <v>127</v>
      </c>
      <c r="B130" s="1">
        <v>127</v>
      </c>
      <c r="C130" s="9" t="s">
        <v>416</v>
      </c>
      <c r="D130" s="1">
        <v>2.796e+22</v>
      </c>
      <c r="E130" s="1">
        <v>30</v>
      </c>
      <c r="F130" s="7">
        <v>97905565242094</v>
      </c>
      <c r="G130" s="8" t="s">
        <v>417</v>
      </c>
      <c r="H130" s="2" t="s">
        <v>165</v>
      </c>
    </row>
    <row r="131" ht="16.5" spans="1:8">
      <c r="A131" s="1">
        <v>128</v>
      </c>
      <c r="B131" s="1">
        <v>128</v>
      </c>
      <c r="C131" s="9" t="s">
        <v>418</v>
      </c>
      <c r="D131" s="1">
        <v>3.495e+22</v>
      </c>
      <c r="E131" s="1">
        <v>30</v>
      </c>
      <c r="F131" s="7">
        <v>140476411551393</v>
      </c>
      <c r="G131" s="8" t="s">
        <v>419</v>
      </c>
      <c r="H131" s="2" t="s">
        <v>165</v>
      </c>
    </row>
    <row r="132" ht="16.5" spans="1:8">
      <c r="A132" s="1">
        <v>129</v>
      </c>
      <c r="B132" s="1">
        <v>129</v>
      </c>
      <c r="C132" s="9" t="s">
        <v>420</v>
      </c>
      <c r="D132" s="1">
        <v>5.8e+22</v>
      </c>
      <c r="E132" s="1">
        <v>30</v>
      </c>
      <c r="F132" s="7">
        <v>120018046835451</v>
      </c>
      <c r="G132" s="8" t="s">
        <v>421</v>
      </c>
      <c r="H132" s="2" t="s">
        <v>165</v>
      </c>
    </row>
    <row r="133" ht="16.5" spans="1:8">
      <c r="A133" s="1">
        <v>130</v>
      </c>
      <c r="B133" s="1">
        <v>130</v>
      </c>
      <c r="C133" s="9" t="s">
        <v>422</v>
      </c>
      <c r="D133" s="1">
        <v>9.28e+22</v>
      </c>
      <c r="E133" s="1">
        <v>30</v>
      </c>
      <c r="F133" s="7">
        <v>80251278207088</v>
      </c>
      <c r="G133" s="8" t="s">
        <v>423</v>
      </c>
      <c r="H133" s="2" t="s">
        <v>165</v>
      </c>
    </row>
    <row r="134" ht="16.5" spans="1:8">
      <c r="A134" s="1">
        <v>131</v>
      </c>
      <c r="B134" s="1">
        <v>131</v>
      </c>
      <c r="C134" s="9" t="s">
        <v>424</v>
      </c>
      <c r="D134" s="1">
        <v>1.392e+23</v>
      </c>
      <c r="E134" s="1">
        <v>31</v>
      </c>
      <c r="F134" s="7">
        <v>93241401911451</v>
      </c>
      <c r="G134" s="8" t="s">
        <v>425</v>
      </c>
      <c r="H134" s="2" t="s">
        <v>165</v>
      </c>
    </row>
    <row r="135" ht="16.5" spans="1:8">
      <c r="A135" s="1">
        <v>132</v>
      </c>
      <c r="B135" s="1">
        <v>132</v>
      </c>
      <c r="C135" s="9" t="s">
        <v>426</v>
      </c>
      <c r="D135" s="1">
        <v>1.74e+23</v>
      </c>
      <c r="E135" s="1">
        <v>31</v>
      </c>
      <c r="F135" s="7">
        <v>111428364476852</v>
      </c>
      <c r="G135" s="8" t="s">
        <v>427</v>
      </c>
      <c r="H135" s="2" t="s">
        <v>165</v>
      </c>
    </row>
    <row r="136" ht="16.5" spans="1:8">
      <c r="A136" s="1">
        <v>133</v>
      </c>
      <c r="B136" s="1">
        <v>133</v>
      </c>
      <c r="C136" s="9" t="s">
        <v>428</v>
      </c>
      <c r="D136" s="1">
        <v>2.91e+23</v>
      </c>
      <c r="E136" s="1">
        <v>31</v>
      </c>
      <c r="F136" s="7">
        <v>117739005088015</v>
      </c>
      <c r="G136" s="8" t="s">
        <v>429</v>
      </c>
      <c r="H136" s="2" t="s">
        <v>165</v>
      </c>
    </row>
    <row r="137" ht="16.5" spans="1:8">
      <c r="A137" s="1">
        <v>134</v>
      </c>
      <c r="B137" s="1">
        <v>134</v>
      </c>
      <c r="C137" s="9" t="s">
        <v>430</v>
      </c>
      <c r="D137" s="1">
        <v>4.656e+23</v>
      </c>
      <c r="E137" s="1">
        <v>31</v>
      </c>
      <c r="F137" s="7">
        <v>106059177546151</v>
      </c>
      <c r="G137" s="8" t="s">
        <v>431</v>
      </c>
      <c r="H137" s="2" t="s">
        <v>165</v>
      </c>
    </row>
    <row r="138" ht="16.5" spans="1:8">
      <c r="A138" s="1">
        <v>135</v>
      </c>
      <c r="B138" s="1">
        <v>135</v>
      </c>
      <c r="C138" s="9" t="s">
        <v>432</v>
      </c>
      <c r="D138" s="1">
        <v>6.984e+23</v>
      </c>
      <c r="E138" s="1">
        <v>32</v>
      </c>
      <c r="F138" s="7">
        <v>136795155731733</v>
      </c>
      <c r="G138" s="8" t="s">
        <v>433</v>
      </c>
      <c r="H138" s="2" t="s">
        <v>165</v>
      </c>
    </row>
    <row r="139" ht="16.5" spans="1:8">
      <c r="A139" s="1">
        <v>136</v>
      </c>
      <c r="B139" s="1">
        <v>136</v>
      </c>
      <c r="C139" s="9" t="s">
        <v>434</v>
      </c>
      <c r="D139" s="1">
        <v>8.73e+23</v>
      </c>
      <c r="E139" s="1">
        <v>32</v>
      </c>
      <c r="F139" s="7">
        <v>72644523405324</v>
      </c>
      <c r="G139" s="8" t="s">
        <v>435</v>
      </c>
      <c r="H139" s="2" t="s">
        <v>165</v>
      </c>
    </row>
    <row r="140" ht="16.5" spans="1:8">
      <c r="A140" s="1">
        <v>137</v>
      </c>
      <c r="B140" s="1">
        <v>137</v>
      </c>
      <c r="C140" s="9" t="s">
        <v>436</v>
      </c>
      <c r="D140" s="1">
        <v>1.455e+24</v>
      </c>
      <c r="E140" s="1">
        <v>32</v>
      </c>
      <c r="F140" s="7">
        <v>108937394146011</v>
      </c>
      <c r="G140" s="8" t="s">
        <v>437</v>
      </c>
      <c r="H140" s="2" t="s">
        <v>165</v>
      </c>
    </row>
    <row r="141" ht="16.5" spans="1:8">
      <c r="A141" s="1">
        <v>138</v>
      </c>
      <c r="B141" s="1">
        <v>138</v>
      </c>
      <c r="C141" s="9" t="s">
        <v>438</v>
      </c>
      <c r="D141" s="1">
        <v>2.328e+24</v>
      </c>
      <c r="E141" s="1">
        <v>32</v>
      </c>
      <c r="F141" s="7">
        <v>79433065873354</v>
      </c>
      <c r="G141" s="8" t="s">
        <v>439</v>
      </c>
      <c r="H141" s="2" t="s">
        <v>165</v>
      </c>
    </row>
    <row r="142" ht="16.5" spans="1:8">
      <c r="A142" s="1">
        <v>139</v>
      </c>
      <c r="B142" s="1">
        <v>139</v>
      </c>
      <c r="C142" s="9" t="s">
        <v>440</v>
      </c>
      <c r="D142" s="1">
        <v>3.492e+24</v>
      </c>
      <c r="E142" s="1">
        <v>33</v>
      </c>
      <c r="F142" s="7">
        <v>78433393917163</v>
      </c>
      <c r="G142" s="8" t="s">
        <v>441</v>
      </c>
      <c r="H142" s="2" t="s">
        <v>165</v>
      </c>
    </row>
    <row r="143" ht="16.5" spans="1:8">
      <c r="A143" s="1">
        <v>140</v>
      </c>
      <c r="B143" s="1">
        <v>140</v>
      </c>
      <c r="C143" s="9" t="s">
        <v>442</v>
      </c>
      <c r="D143" s="1">
        <v>4.365e+24</v>
      </c>
      <c r="E143" s="1">
        <v>33</v>
      </c>
      <c r="F143" s="7">
        <v>86723396142799</v>
      </c>
      <c r="G143" s="8" t="s">
        <v>443</v>
      </c>
      <c r="H143" s="2" t="s">
        <v>165</v>
      </c>
    </row>
    <row r="144" ht="16.5" spans="1:8">
      <c r="A144" s="1">
        <v>141</v>
      </c>
      <c r="B144" s="1">
        <v>141</v>
      </c>
      <c r="C144" s="9" t="s">
        <v>444</v>
      </c>
      <c r="D144" s="1">
        <v>7.3e+24</v>
      </c>
      <c r="E144" s="1">
        <v>33</v>
      </c>
      <c r="F144" s="7">
        <v>116389499163956</v>
      </c>
      <c r="G144" s="8" t="s">
        <v>445</v>
      </c>
      <c r="H144" s="2" t="s">
        <v>165</v>
      </c>
    </row>
    <row r="145" ht="16.5" spans="1:8">
      <c r="A145" s="1">
        <v>142</v>
      </c>
      <c r="B145" s="1">
        <v>142</v>
      </c>
      <c r="C145" s="9" t="s">
        <v>446</v>
      </c>
      <c r="D145" s="1">
        <v>1.168e+25</v>
      </c>
      <c r="E145" s="1">
        <v>33</v>
      </c>
      <c r="F145" s="7">
        <v>97264334614998</v>
      </c>
      <c r="G145" s="8" t="s">
        <v>447</v>
      </c>
      <c r="H145" s="2" t="s">
        <v>165</v>
      </c>
    </row>
    <row r="146" ht="16.5" spans="1:8">
      <c r="A146" s="1">
        <v>143</v>
      </c>
      <c r="B146" s="1">
        <v>143</v>
      </c>
      <c r="C146" s="9" t="s">
        <v>448</v>
      </c>
      <c r="D146" s="1">
        <v>1.752e+25</v>
      </c>
      <c r="E146" s="1">
        <v>34</v>
      </c>
      <c r="F146" s="7">
        <v>115791824258294</v>
      </c>
      <c r="G146" s="8" t="s">
        <v>449</v>
      </c>
      <c r="H146" s="2" t="s">
        <v>165</v>
      </c>
    </row>
    <row r="147" ht="16.5" spans="1:8">
      <c r="A147" s="1">
        <v>144</v>
      </c>
      <c r="B147" s="1">
        <v>144</v>
      </c>
      <c r="C147" s="9" t="s">
        <v>450</v>
      </c>
      <c r="D147" s="1">
        <v>2.19e+25</v>
      </c>
      <c r="E147" s="1">
        <v>34</v>
      </c>
      <c r="F147" s="7">
        <v>94398618924427</v>
      </c>
      <c r="G147" s="8" t="s">
        <v>451</v>
      </c>
      <c r="H147" s="2" t="s">
        <v>165</v>
      </c>
    </row>
    <row r="148" ht="16.5" spans="1:8">
      <c r="A148" s="1">
        <v>145</v>
      </c>
      <c r="B148" s="1">
        <v>145</v>
      </c>
      <c r="C148" s="9" t="s">
        <v>452</v>
      </c>
      <c r="D148" s="1">
        <v>3.64e+25</v>
      </c>
      <c r="E148" s="1">
        <v>34</v>
      </c>
      <c r="F148" s="7">
        <v>128273384481118</v>
      </c>
      <c r="G148" s="8" t="s">
        <v>453</v>
      </c>
      <c r="H148" s="2" t="s">
        <v>165</v>
      </c>
    </row>
    <row r="149" ht="16.5" spans="1:8">
      <c r="A149" s="1">
        <v>146</v>
      </c>
      <c r="B149" s="1">
        <v>146</v>
      </c>
      <c r="C149" s="9" t="s">
        <v>454</v>
      </c>
      <c r="D149" s="1">
        <v>5.824e+25</v>
      </c>
      <c r="E149" s="1">
        <v>34</v>
      </c>
      <c r="F149" s="7">
        <v>138000317292270</v>
      </c>
      <c r="G149" s="8" t="s">
        <v>455</v>
      </c>
      <c r="H149" s="2" t="s">
        <v>165</v>
      </c>
    </row>
    <row r="150" ht="16.5" spans="1:8">
      <c r="A150" s="1">
        <v>147</v>
      </c>
      <c r="B150" s="1">
        <v>147</v>
      </c>
      <c r="C150" s="9" t="s">
        <v>456</v>
      </c>
      <c r="D150" s="1">
        <v>8.736e+25</v>
      </c>
      <c r="E150" s="1">
        <v>35</v>
      </c>
      <c r="F150" s="7">
        <v>100641475547869</v>
      </c>
      <c r="G150" s="8" t="s">
        <v>457</v>
      </c>
      <c r="H150" s="2" t="s">
        <v>165</v>
      </c>
    </row>
    <row r="151" ht="16.5" spans="1:8">
      <c r="A151" s="1">
        <v>148</v>
      </c>
      <c r="B151" s="1">
        <v>148</v>
      </c>
      <c r="C151" s="9" t="s">
        <v>458</v>
      </c>
      <c r="D151" s="1">
        <v>1.092e+26</v>
      </c>
      <c r="E151" s="1">
        <v>35</v>
      </c>
      <c r="F151" s="7">
        <v>79371487434912</v>
      </c>
      <c r="G151" s="8" t="s">
        <v>459</v>
      </c>
      <c r="H151" s="2" t="s">
        <v>165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6" t="s">
        <v>52</v>
      </c>
      <c r="B1" s="6" t="s">
        <v>460</v>
      </c>
      <c r="C1" s="6" t="s">
        <v>461</v>
      </c>
    </row>
    <row r="2" customFormat="1" ht="16.5" spans="1:3">
      <c r="A2" s="6" t="s">
        <v>13</v>
      </c>
      <c r="B2" s="6" t="s">
        <v>462</v>
      </c>
      <c r="C2" s="6" t="s">
        <v>463</v>
      </c>
    </row>
    <row r="3" customFormat="1" ht="16.5" spans="1:3">
      <c r="A3" s="6" t="s">
        <v>61</v>
      </c>
      <c r="B3" s="6" t="s">
        <v>61</v>
      </c>
      <c r="C3" s="6" t="s">
        <v>61</v>
      </c>
    </row>
    <row r="4" customFormat="1" ht="16.5" spans="1:3">
      <c r="A4" s="6">
        <v>1</v>
      </c>
      <c r="B4" s="6">
        <v>2</v>
      </c>
      <c r="C4" s="6">
        <v>150</v>
      </c>
    </row>
    <row r="5" customFormat="1" ht="16.5" spans="1:3">
      <c r="A5" s="6">
        <v>2</v>
      </c>
      <c r="B5" s="6">
        <v>4</v>
      </c>
      <c r="C5" s="6">
        <v>151</v>
      </c>
    </row>
    <row r="6" customFormat="1" ht="16.5" spans="1:3">
      <c r="A6" s="6">
        <v>3</v>
      </c>
      <c r="B6" s="6">
        <v>8</v>
      </c>
      <c r="C6" s="6">
        <v>152</v>
      </c>
    </row>
    <row r="7" customFormat="1" ht="16.5" spans="1:3">
      <c r="A7" s="6">
        <v>4</v>
      </c>
      <c r="B7" s="6">
        <v>16</v>
      </c>
      <c r="C7" s="6">
        <v>153</v>
      </c>
    </row>
    <row r="8" customFormat="1" ht="16.5" spans="1:3">
      <c r="A8" s="6">
        <v>5</v>
      </c>
      <c r="B8" s="6">
        <v>32</v>
      </c>
      <c r="C8" s="6">
        <v>154</v>
      </c>
    </row>
    <row r="9" customFormat="1" ht="16.5" spans="1:3">
      <c r="A9" s="6">
        <v>6</v>
      </c>
      <c r="B9" s="6">
        <v>64</v>
      </c>
      <c r="C9" s="6">
        <v>155</v>
      </c>
    </row>
    <row r="10" customFormat="1" ht="15" customHeight="1" spans="1:3">
      <c r="A10" s="6">
        <v>7</v>
      </c>
      <c r="B10" s="6">
        <v>128</v>
      </c>
      <c r="C10" s="6">
        <v>156</v>
      </c>
    </row>
    <row r="11" customFormat="1" ht="16.5" spans="1:3">
      <c r="A11" s="6">
        <v>8</v>
      </c>
      <c r="B11" s="6">
        <v>256</v>
      </c>
      <c r="C11" s="6">
        <v>157</v>
      </c>
    </row>
    <row r="12" customFormat="1" ht="16.5" spans="1:3">
      <c r="A12" s="6">
        <v>9</v>
      </c>
      <c r="B12" s="6">
        <v>512</v>
      </c>
      <c r="C12" s="6">
        <v>158</v>
      </c>
    </row>
    <row r="13" customFormat="1" ht="16.5" spans="1:3">
      <c r="A13" s="6">
        <v>10</v>
      </c>
      <c r="B13" s="6">
        <v>1024</v>
      </c>
      <c r="C13" s="6">
        <v>159</v>
      </c>
    </row>
    <row r="14" customFormat="1" ht="16.5" spans="1:3">
      <c r="A14" s="6">
        <v>11</v>
      </c>
      <c r="B14" s="6">
        <v>2048</v>
      </c>
      <c r="C14" s="6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"/>
  <sheetViews>
    <sheetView zoomScale="85" zoomScaleNormal="85" topLeftCell="A22" workbookViewId="0">
      <selection activeCell="E45" sqref="E45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  <col min="9" max="9" width="44.8833333333333" customWidth="1"/>
  </cols>
  <sheetData>
    <row r="1" customFormat="1" ht="16.5" spans="1:10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54</v>
      </c>
      <c r="G1" s="1" t="s">
        <v>466</v>
      </c>
      <c r="H1" s="1" t="s">
        <v>153</v>
      </c>
      <c r="I1" t="s">
        <v>467</v>
      </c>
    </row>
    <row r="2" customFormat="1" ht="16.5" spans="1:10">
      <c r="A2" s="1" t="s">
        <v>13</v>
      </c>
      <c r="B2" s="1" t="s">
        <v>468</v>
      </c>
      <c r="C2" s="1" t="s">
        <v>156</v>
      </c>
      <c r="D2" s="1" t="s">
        <v>469</v>
      </c>
      <c r="E2" s="1" t="s">
        <v>59</v>
      </c>
      <c r="F2" s="1" t="s">
        <v>58</v>
      </c>
      <c r="G2" s="1" t="s">
        <v>470</v>
      </c>
      <c r="H2" s="1" t="s">
        <v>471</v>
      </c>
      <c r="I2" s="1" t="s">
        <v>472</v>
      </c>
    </row>
    <row r="3" customFormat="1" ht="16.5" spans="1:10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7</v>
      </c>
      <c r="H3" s="1" t="s">
        <v>7</v>
      </c>
      <c r="I3" s="1" t="s">
        <v>7</v>
      </c>
    </row>
    <row r="4" customFormat="1" ht="16.5" spans="1:10">
      <c r="A4" s="1">
        <v>1</v>
      </c>
      <c r="B4" s="1">
        <v>101</v>
      </c>
      <c r="C4" s="1" t="s">
        <v>473</v>
      </c>
      <c r="D4" s="1">
        <v>0</v>
      </c>
      <c r="E4" s="1">
        <v>1</v>
      </c>
      <c r="F4" s="1"/>
      <c r="G4" s="5" t="s">
        <v>474</v>
      </c>
      <c r="H4" s="5" t="s">
        <v>475</v>
      </c>
      <c r="I4" s="5" t="s">
        <v>476</v>
      </c>
      <c r="J4" s="5"/>
    </row>
    <row r="5" customFormat="1" ht="16.5" spans="1:10">
      <c r="A5" s="1">
        <v>2</v>
      </c>
      <c r="B5" s="1">
        <v>102</v>
      </c>
      <c r="C5" s="1" t="s">
        <v>477</v>
      </c>
      <c r="D5" s="1">
        <v>25</v>
      </c>
      <c r="E5" s="1">
        <v>39</v>
      </c>
      <c r="F5" s="1"/>
      <c r="G5" s="5" t="s">
        <v>478</v>
      </c>
      <c r="H5" s="5" t="s">
        <v>479</v>
      </c>
      <c r="I5" s="5" t="s">
        <v>480</v>
      </c>
      <c r="J5" s="5"/>
    </row>
    <row r="6" customFormat="1" ht="16.5" spans="1:10">
      <c r="A6" s="1">
        <v>3</v>
      </c>
      <c r="B6" s="1">
        <v>103</v>
      </c>
      <c r="C6" s="1" t="s">
        <v>481</v>
      </c>
      <c r="D6" s="1">
        <v>450</v>
      </c>
      <c r="E6" s="1">
        <v>450</v>
      </c>
      <c r="F6" s="1"/>
      <c r="G6" s="5" t="s">
        <v>482</v>
      </c>
      <c r="H6" s="5" t="s">
        <v>483</v>
      </c>
      <c r="I6" s="5" t="s">
        <v>484</v>
      </c>
      <c r="J6" s="5"/>
    </row>
    <row r="7" customFormat="1" ht="16.5" spans="1:10">
      <c r="A7" s="1">
        <v>4</v>
      </c>
      <c r="B7" s="1">
        <v>104</v>
      </c>
      <c r="C7" s="1" t="s">
        <v>485</v>
      </c>
      <c r="D7" s="1">
        <v>4375</v>
      </c>
      <c r="E7" s="1">
        <v>3282</v>
      </c>
      <c r="F7" s="1"/>
      <c r="G7" s="5" t="s">
        <v>486</v>
      </c>
      <c r="H7" s="5" t="s">
        <v>487</v>
      </c>
      <c r="I7" s="5" t="s">
        <v>488</v>
      </c>
      <c r="J7" s="5"/>
    </row>
    <row r="8" customFormat="1" ht="16.5" spans="1:10">
      <c r="A8" s="1">
        <v>5</v>
      </c>
      <c r="B8" s="1">
        <v>105</v>
      </c>
      <c r="C8" s="1" t="s">
        <v>489</v>
      </c>
      <c r="D8" s="27" t="s">
        <v>490</v>
      </c>
      <c r="E8" s="27" t="s">
        <v>491</v>
      </c>
      <c r="F8" s="1"/>
      <c r="G8" s="5" t="s">
        <v>492</v>
      </c>
      <c r="H8" s="5" t="s">
        <v>493</v>
      </c>
      <c r="I8" s="5" t="s">
        <v>494</v>
      </c>
      <c r="J8" s="5"/>
    </row>
    <row r="9" customFormat="1" ht="16.5" spans="1:10">
      <c r="A9" s="1">
        <v>6</v>
      </c>
      <c r="B9" s="1">
        <v>106</v>
      </c>
      <c r="C9" s="1" t="s">
        <v>495</v>
      </c>
      <c r="D9" s="27" t="s">
        <v>496</v>
      </c>
      <c r="E9" s="27" t="s">
        <v>497</v>
      </c>
      <c r="F9" s="1"/>
      <c r="G9" s="5" t="s">
        <v>498</v>
      </c>
      <c r="H9" s="5" t="s">
        <v>499</v>
      </c>
      <c r="I9" s="5" t="s">
        <v>500</v>
      </c>
      <c r="J9" s="5"/>
    </row>
    <row r="10" customFormat="1" ht="16.5" spans="1:10">
      <c r="A10" s="1">
        <v>7</v>
      </c>
      <c r="B10" s="1">
        <v>107</v>
      </c>
      <c r="C10" s="1" t="s">
        <v>501</v>
      </c>
      <c r="D10" s="27" t="s">
        <v>502</v>
      </c>
      <c r="E10" s="27" t="s">
        <v>503</v>
      </c>
      <c r="F10" s="1"/>
      <c r="G10" s="5" t="s">
        <v>504</v>
      </c>
      <c r="H10" s="5" t="s">
        <v>505</v>
      </c>
      <c r="I10" s="5" t="s">
        <v>506</v>
      </c>
      <c r="J10" s="5"/>
    </row>
    <row r="11" customFormat="1" ht="16.5" spans="1:10">
      <c r="A11" s="1">
        <v>8</v>
      </c>
      <c r="B11" s="1">
        <v>108</v>
      </c>
      <c r="C11" s="1" t="s">
        <v>507</v>
      </c>
      <c r="D11" s="27" t="s">
        <v>508</v>
      </c>
      <c r="E11" s="27" t="s">
        <v>509</v>
      </c>
      <c r="F11" s="1"/>
      <c r="G11" s="5" t="s">
        <v>510</v>
      </c>
      <c r="H11" s="5" t="s">
        <v>511</v>
      </c>
      <c r="I11" s="5" t="s">
        <v>512</v>
      </c>
      <c r="J11" s="5"/>
    </row>
    <row r="12" customFormat="1" ht="16.5" spans="1:10">
      <c r="A12" s="1">
        <v>9</v>
      </c>
      <c r="B12" s="1">
        <v>109</v>
      </c>
      <c r="C12" s="1" t="s">
        <v>513</v>
      </c>
      <c r="D12" s="27" t="s">
        <v>514</v>
      </c>
      <c r="E12" s="27" t="s">
        <v>515</v>
      </c>
      <c r="F12" s="1"/>
      <c r="G12" s="5" t="s">
        <v>516</v>
      </c>
      <c r="H12" s="5" t="s">
        <v>517</v>
      </c>
      <c r="I12" s="5" t="s">
        <v>518</v>
      </c>
      <c r="J12" s="5"/>
    </row>
    <row r="13" customFormat="1" ht="16.5" spans="1:10">
      <c r="A13" s="1">
        <v>10</v>
      </c>
      <c r="B13" s="1">
        <v>110</v>
      </c>
      <c r="C13" s="1" t="s">
        <v>519</v>
      </c>
      <c r="D13" s="27" t="s">
        <v>520</v>
      </c>
      <c r="E13" s="27" t="s">
        <v>521</v>
      </c>
      <c r="F13" s="1"/>
      <c r="G13" s="5" t="s">
        <v>522</v>
      </c>
      <c r="H13" s="5" t="s">
        <v>523</v>
      </c>
      <c r="I13" s="5" t="s">
        <v>524</v>
      </c>
      <c r="J13" s="5"/>
    </row>
    <row r="14" customFormat="1" ht="16.5" spans="1:10">
      <c r="A14" s="1">
        <v>11</v>
      </c>
      <c r="B14" s="1">
        <v>111</v>
      </c>
      <c r="C14" s="1" t="s">
        <v>525</v>
      </c>
      <c r="D14" s="27" t="s">
        <v>526</v>
      </c>
      <c r="E14" s="27" t="s">
        <v>527</v>
      </c>
      <c r="F14" s="1"/>
      <c r="G14" s="5" t="s">
        <v>528</v>
      </c>
      <c r="H14" s="5" t="s">
        <v>529</v>
      </c>
      <c r="I14" s="5" t="s">
        <v>530</v>
      </c>
      <c r="J14" s="5"/>
    </row>
    <row r="15" customFormat="1" ht="16.5" spans="1:10">
      <c r="A15" s="1">
        <v>12</v>
      </c>
      <c r="B15" s="1">
        <v>112</v>
      </c>
      <c r="C15" s="1" t="s">
        <v>531</v>
      </c>
      <c r="D15" s="27" t="s">
        <v>532</v>
      </c>
      <c r="E15" s="27" t="s">
        <v>533</v>
      </c>
      <c r="F15" s="1"/>
      <c r="G15" s="5" t="s">
        <v>534</v>
      </c>
      <c r="H15" s="5" t="s">
        <v>535</v>
      </c>
      <c r="I15" s="5" t="s">
        <v>536</v>
      </c>
      <c r="J15" s="5"/>
    </row>
    <row r="16" customFormat="1" ht="16.5" spans="1:10">
      <c r="A16" s="1">
        <v>13</v>
      </c>
      <c r="B16" s="1">
        <v>113</v>
      </c>
      <c r="C16" s="1" t="s">
        <v>537</v>
      </c>
      <c r="D16" s="27" t="s">
        <v>538</v>
      </c>
      <c r="E16" s="27" t="s">
        <v>539</v>
      </c>
      <c r="F16" s="1"/>
      <c r="G16" s="5" t="s">
        <v>540</v>
      </c>
      <c r="H16" s="5" t="s">
        <v>541</v>
      </c>
      <c r="I16" s="5" t="s">
        <v>542</v>
      </c>
      <c r="J16" s="5"/>
    </row>
    <row r="17" customFormat="1" ht="16.5" spans="1:10">
      <c r="A17" s="1">
        <v>14</v>
      </c>
      <c r="B17" s="1">
        <v>114</v>
      </c>
      <c r="C17" s="1" t="s">
        <v>543</v>
      </c>
      <c r="D17" s="27" t="s">
        <v>544</v>
      </c>
      <c r="E17" s="27" t="s">
        <v>545</v>
      </c>
      <c r="F17" s="1"/>
      <c r="G17" s="5" t="s">
        <v>546</v>
      </c>
      <c r="H17" s="5" t="s">
        <v>547</v>
      </c>
      <c r="I17" s="5" t="s">
        <v>548</v>
      </c>
      <c r="J17" s="5"/>
    </row>
    <row r="18" customFormat="1" ht="16.5" spans="1:10">
      <c r="A18" s="1">
        <v>15</v>
      </c>
      <c r="B18" s="1">
        <v>115</v>
      </c>
      <c r="C18" s="1" t="s">
        <v>549</v>
      </c>
      <c r="D18" s="27" t="s">
        <v>550</v>
      </c>
      <c r="E18" s="27" t="s">
        <v>551</v>
      </c>
      <c r="F18" s="1"/>
      <c r="G18" s="5" t="s">
        <v>552</v>
      </c>
      <c r="H18" s="5" t="s">
        <v>553</v>
      </c>
      <c r="I18" s="5" t="s">
        <v>554</v>
      </c>
      <c r="J18" s="5"/>
    </row>
    <row r="19" customFormat="1" ht="16.5" spans="1:10">
      <c r="A19" s="1">
        <v>16</v>
      </c>
      <c r="B19" s="1">
        <v>116</v>
      </c>
      <c r="C19" s="1" t="s">
        <v>555</v>
      </c>
      <c r="D19" s="27" t="s">
        <v>556</v>
      </c>
      <c r="E19" s="27" t="s">
        <v>557</v>
      </c>
      <c r="F19" s="1"/>
      <c r="G19" s="5" t="s">
        <v>558</v>
      </c>
      <c r="H19" s="5" t="s">
        <v>559</v>
      </c>
      <c r="I19" s="5" t="s">
        <v>560</v>
      </c>
      <c r="J19" s="5"/>
    </row>
    <row r="20" customFormat="1" ht="16.5" spans="1:10">
      <c r="A20" s="1">
        <v>17</v>
      </c>
      <c r="B20" s="1">
        <v>117</v>
      </c>
      <c r="C20" s="1" t="s">
        <v>561</v>
      </c>
      <c r="D20" s="27" t="s">
        <v>562</v>
      </c>
      <c r="E20" s="27" t="s">
        <v>563</v>
      </c>
      <c r="F20" s="1"/>
      <c r="G20" s="5" t="s">
        <v>564</v>
      </c>
      <c r="H20" s="5" t="s">
        <v>565</v>
      </c>
      <c r="I20" s="5" t="s">
        <v>566</v>
      </c>
      <c r="J20" s="5"/>
    </row>
    <row r="21" ht="16.5" spans="1:10">
      <c r="A21" s="1">
        <v>18</v>
      </c>
      <c r="B21" s="1">
        <v>118</v>
      </c>
      <c r="C21" s="1" t="s">
        <v>567</v>
      </c>
      <c r="D21" s="27" t="s">
        <v>568</v>
      </c>
      <c r="E21" s="27" t="s">
        <v>569</v>
      </c>
      <c r="F21" s="1"/>
      <c r="G21" s="5" t="s">
        <v>570</v>
      </c>
      <c r="H21" s="5" t="s">
        <v>571</v>
      </c>
      <c r="I21" s="5" t="s">
        <v>572</v>
      </c>
      <c r="J21" s="5"/>
    </row>
    <row r="22" ht="16.5" spans="1:10">
      <c r="A22" s="1">
        <v>19</v>
      </c>
      <c r="B22" s="1">
        <v>119</v>
      </c>
      <c r="C22" s="1" t="s">
        <v>573</v>
      </c>
      <c r="D22" s="27" t="s">
        <v>574</v>
      </c>
      <c r="E22" s="27" t="s">
        <v>575</v>
      </c>
      <c r="F22" s="1"/>
      <c r="G22" s="5" t="s">
        <v>576</v>
      </c>
      <c r="H22" s="5" t="s">
        <v>577</v>
      </c>
      <c r="I22" s="5" t="s">
        <v>578</v>
      </c>
      <c r="J22" s="5"/>
    </row>
    <row r="23" ht="16.5" spans="1:10">
      <c r="A23" s="1">
        <v>20</v>
      </c>
      <c r="B23" s="1">
        <v>120</v>
      </c>
      <c r="C23" s="1" t="s">
        <v>579</v>
      </c>
      <c r="D23" s="27" t="s">
        <v>580</v>
      </c>
      <c r="E23" s="27" t="s">
        <v>581</v>
      </c>
      <c r="F23" s="1"/>
      <c r="G23" s="5" t="s">
        <v>582</v>
      </c>
      <c r="H23" s="5" t="s">
        <v>583</v>
      </c>
      <c r="I23" s="5" t="s">
        <v>584</v>
      </c>
      <c r="J23" s="5"/>
    </row>
    <row r="24" ht="16.5" spans="1:10">
      <c r="A24" s="1">
        <v>21</v>
      </c>
      <c r="B24" s="1">
        <v>121</v>
      </c>
      <c r="C24" s="1" t="s">
        <v>585</v>
      </c>
      <c r="D24" s="27" t="s">
        <v>586</v>
      </c>
      <c r="E24" s="27" t="s">
        <v>587</v>
      </c>
      <c r="F24" s="1"/>
      <c r="G24" s="5" t="s">
        <v>588</v>
      </c>
      <c r="H24" s="5" t="s">
        <v>589</v>
      </c>
      <c r="I24" s="5" t="s">
        <v>590</v>
      </c>
      <c r="J24" s="5"/>
    </row>
    <row r="25" ht="16.5" spans="1:10">
      <c r="A25" s="1">
        <v>22</v>
      </c>
      <c r="B25" s="1">
        <v>122</v>
      </c>
      <c r="C25" s="1" t="s">
        <v>591</v>
      </c>
      <c r="D25" s="27" t="s">
        <v>592</v>
      </c>
      <c r="E25" s="27" t="s">
        <v>593</v>
      </c>
      <c r="F25" s="1"/>
      <c r="G25" s="5" t="s">
        <v>594</v>
      </c>
      <c r="H25" s="5" t="s">
        <v>595</v>
      </c>
      <c r="I25" s="5" t="s">
        <v>596</v>
      </c>
      <c r="J25" s="5"/>
    </row>
    <row r="26" ht="16.5" spans="1:10">
      <c r="A26" s="1">
        <v>23</v>
      </c>
      <c r="B26" s="1">
        <v>123</v>
      </c>
      <c r="C26" s="1" t="s">
        <v>597</v>
      </c>
      <c r="D26" s="27" t="s">
        <v>598</v>
      </c>
      <c r="E26" s="27" t="s">
        <v>599</v>
      </c>
      <c r="F26" s="1"/>
      <c r="G26" s="5" t="s">
        <v>600</v>
      </c>
      <c r="H26" s="5" t="s">
        <v>601</v>
      </c>
      <c r="I26" s="5" t="s">
        <v>602</v>
      </c>
      <c r="J26" s="5"/>
    </row>
    <row r="27" ht="16.5" spans="1:10">
      <c r="A27" s="1">
        <v>24</v>
      </c>
      <c r="B27" s="1">
        <v>124</v>
      </c>
      <c r="C27" s="1" t="s">
        <v>603</v>
      </c>
      <c r="D27" s="27" t="s">
        <v>604</v>
      </c>
      <c r="E27" s="27" t="s">
        <v>605</v>
      </c>
      <c r="F27" s="1"/>
      <c r="G27" s="5" t="s">
        <v>606</v>
      </c>
      <c r="H27" s="5" t="s">
        <v>607</v>
      </c>
      <c r="I27" s="5" t="s">
        <v>608</v>
      </c>
      <c r="J27" s="5"/>
    </row>
    <row r="28" ht="16.5" spans="1:10">
      <c r="A28" s="1">
        <v>25</v>
      </c>
      <c r="B28" s="1">
        <v>125</v>
      </c>
      <c r="C28" s="1" t="s">
        <v>609</v>
      </c>
      <c r="D28" s="27" t="s">
        <v>610</v>
      </c>
      <c r="E28" s="27" t="s">
        <v>611</v>
      </c>
      <c r="F28" s="1"/>
      <c r="G28" s="5" t="s">
        <v>612</v>
      </c>
      <c r="H28" s="5" t="s">
        <v>613</v>
      </c>
      <c r="I28" s="5" t="s">
        <v>614</v>
      </c>
      <c r="J28" s="5"/>
    </row>
    <row r="29" ht="16.5" spans="1:10">
      <c r="A29" s="1">
        <v>26</v>
      </c>
      <c r="B29" s="1">
        <v>126</v>
      </c>
      <c r="C29" s="1" t="s">
        <v>615</v>
      </c>
      <c r="D29" s="27" t="s">
        <v>616</v>
      </c>
      <c r="E29" s="27" t="s">
        <v>617</v>
      </c>
      <c r="F29" s="1"/>
      <c r="G29" s="5" t="s">
        <v>618</v>
      </c>
      <c r="H29" s="5" t="s">
        <v>619</v>
      </c>
      <c r="I29" s="5" t="s">
        <v>620</v>
      </c>
      <c r="J29" s="5"/>
    </row>
    <row r="30" ht="16.5" spans="1:10">
      <c r="A30" s="1">
        <v>27</v>
      </c>
      <c r="B30" s="1">
        <v>127</v>
      </c>
      <c r="C30" s="1" t="s">
        <v>621</v>
      </c>
      <c r="D30" s="27" t="s">
        <v>622</v>
      </c>
      <c r="E30" s="27" t="s">
        <v>623</v>
      </c>
      <c r="G30" s="5" t="s">
        <v>624</v>
      </c>
      <c r="H30" s="5" t="s">
        <v>625</v>
      </c>
      <c r="I30" s="5" t="s">
        <v>626</v>
      </c>
    </row>
    <row r="31" ht="16.5" spans="1:10">
      <c r="A31" s="1">
        <v>28</v>
      </c>
      <c r="B31" s="1">
        <v>128</v>
      </c>
      <c r="C31" s="1" t="s">
        <v>627</v>
      </c>
      <c r="D31" s="27" t="s">
        <v>628</v>
      </c>
      <c r="E31" s="27" t="s">
        <v>629</v>
      </c>
      <c r="G31" s="5" t="s">
        <v>630</v>
      </c>
      <c r="H31" s="5" t="s">
        <v>631</v>
      </c>
      <c r="I31" s="5" t="s">
        <v>632</v>
      </c>
    </row>
    <row r="32" ht="16.5" spans="1:10">
      <c r="A32" s="1">
        <v>29</v>
      </c>
      <c r="B32" s="1">
        <v>129</v>
      </c>
      <c r="C32" s="1" t="s">
        <v>633</v>
      </c>
      <c r="D32" s="27" t="s">
        <v>634</v>
      </c>
      <c r="E32" s="27" t="s">
        <v>635</v>
      </c>
      <c r="G32" s="5" t="s">
        <v>636</v>
      </c>
      <c r="H32" s="5" t="s">
        <v>637</v>
      </c>
      <c r="I32" s="5" t="s">
        <v>638</v>
      </c>
    </row>
    <row r="33" ht="16.5" spans="1:9">
      <c r="A33" s="1">
        <v>30</v>
      </c>
      <c r="B33" s="1">
        <v>130</v>
      </c>
      <c r="C33" s="1" t="s">
        <v>639</v>
      </c>
      <c r="D33" s="27" t="s">
        <v>640</v>
      </c>
      <c r="E33" s="27" t="s">
        <v>641</v>
      </c>
      <c r="G33" s="5" t="s">
        <v>642</v>
      </c>
      <c r="H33" s="5" t="s">
        <v>643</v>
      </c>
      <c r="I33" s="5" t="s">
        <v>644</v>
      </c>
    </row>
    <row r="34" ht="16.5" spans="1:9">
      <c r="A34" s="1">
        <v>31</v>
      </c>
      <c r="B34" s="1">
        <v>131</v>
      </c>
      <c r="C34" s="1" t="s">
        <v>645</v>
      </c>
      <c r="D34" s="27" t="s">
        <v>646</v>
      </c>
      <c r="E34" s="27" t="s">
        <v>647</v>
      </c>
      <c r="G34" s="5" t="s">
        <v>648</v>
      </c>
      <c r="H34" s="5" t="s">
        <v>649</v>
      </c>
      <c r="I34" s="5" t="s">
        <v>650</v>
      </c>
    </row>
    <row r="35" ht="16.5" spans="1:9">
      <c r="A35" s="1">
        <v>32</v>
      </c>
      <c r="B35" s="1">
        <v>132</v>
      </c>
      <c r="C35" s="1" t="s">
        <v>651</v>
      </c>
      <c r="D35" s="27" t="s">
        <v>652</v>
      </c>
      <c r="E35" s="27" t="s">
        <v>653</v>
      </c>
      <c r="G35" s="5" t="s">
        <v>654</v>
      </c>
      <c r="H35" s="5" t="s">
        <v>655</v>
      </c>
      <c r="I35" s="5" t="s">
        <v>656</v>
      </c>
    </row>
    <row r="36" ht="16.5" spans="1:9">
      <c r="A36" s="1">
        <v>33</v>
      </c>
      <c r="B36" s="1">
        <v>133</v>
      </c>
      <c r="C36" s="1" t="s">
        <v>657</v>
      </c>
      <c r="D36" s="27" t="s">
        <v>658</v>
      </c>
      <c r="E36" s="27" t="s">
        <v>659</v>
      </c>
      <c r="G36" s="5" t="s">
        <v>660</v>
      </c>
      <c r="H36" s="5" t="s">
        <v>661</v>
      </c>
      <c r="I36" s="5" t="s">
        <v>662</v>
      </c>
    </row>
    <row r="37" ht="16.5" spans="1:9">
      <c r="A37" s="1">
        <v>34</v>
      </c>
      <c r="B37" s="1">
        <v>134</v>
      </c>
      <c r="C37" s="1" t="s">
        <v>663</v>
      </c>
      <c r="D37" s="27" t="s">
        <v>664</v>
      </c>
      <c r="E37" s="27" t="s">
        <v>665</v>
      </c>
      <c r="G37" s="5" t="s">
        <v>666</v>
      </c>
      <c r="H37" s="5" t="s">
        <v>667</v>
      </c>
      <c r="I37" s="5" t="s">
        <v>668</v>
      </c>
    </row>
    <row r="38" ht="16.5" spans="1:9">
      <c r="A38" s="1">
        <v>35</v>
      </c>
      <c r="B38" s="1">
        <v>135</v>
      </c>
      <c r="C38" s="1" t="s">
        <v>669</v>
      </c>
      <c r="D38" s="27" t="s">
        <v>670</v>
      </c>
      <c r="E38" s="27" t="s">
        <v>671</v>
      </c>
      <c r="G38" s="5" t="s">
        <v>672</v>
      </c>
      <c r="H38" s="5" t="s">
        <v>673</v>
      </c>
      <c r="I38" s="5" t="s">
        <v>674</v>
      </c>
    </row>
    <row r="39" ht="16.5" spans="1:9">
      <c r="A39" s="1">
        <v>36</v>
      </c>
      <c r="B39" s="1">
        <v>136</v>
      </c>
      <c r="C39" s="1" t="s">
        <v>675</v>
      </c>
      <c r="D39" s="27" t="s">
        <v>676</v>
      </c>
      <c r="E39" s="27" t="s">
        <v>677</v>
      </c>
      <c r="G39" s="5" t="s">
        <v>678</v>
      </c>
      <c r="H39" s="5" t="s">
        <v>679</v>
      </c>
      <c r="I39" s="5" t="s">
        <v>680</v>
      </c>
    </row>
    <row r="40" ht="16.5" spans="1:9">
      <c r="A40" s="1">
        <v>37</v>
      </c>
      <c r="B40" s="1">
        <v>137</v>
      </c>
      <c r="C40" s="1" t="s">
        <v>681</v>
      </c>
      <c r="D40" s="27" t="s">
        <v>682</v>
      </c>
      <c r="E40" s="27" t="s">
        <v>683</v>
      </c>
      <c r="G40" s="5" t="s">
        <v>684</v>
      </c>
      <c r="H40" s="5" t="s">
        <v>685</v>
      </c>
      <c r="I40" s="5" t="s">
        <v>686</v>
      </c>
    </row>
    <row r="41" ht="16.5" spans="1:9">
      <c r="A41" s="1">
        <v>38</v>
      </c>
      <c r="B41" s="1">
        <v>138</v>
      </c>
      <c r="C41" s="1" t="s">
        <v>687</v>
      </c>
      <c r="D41" s="27" t="s">
        <v>688</v>
      </c>
      <c r="E41" s="27" t="s">
        <v>689</v>
      </c>
      <c r="G41" s="5" t="s">
        <v>690</v>
      </c>
      <c r="H41" s="5" t="s">
        <v>691</v>
      </c>
      <c r="I41" s="5" t="s">
        <v>692</v>
      </c>
    </row>
    <row r="42" ht="16.5" spans="1:9">
      <c r="A42" s="1">
        <v>39</v>
      </c>
      <c r="B42" s="1">
        <v>139</v>
      </c>
      <c r="C42" s="1" t="s">
        <v>693</v>
      </c>
      <c r="D42" s="27" t="s">
        <v>694</v>
      </c>
      <c r="E42" s="27" t="s">
        <v>695</v>
      </c>
      <c r="G42" s="5" t="s">
        <v>696</v>
      </c>
      <c r="H42" s="5" t="s">
        <v>697</v>
      </c>
      <c r="I42" s="5" t="s">
        <v>698</v>
      </c>
    </row>
    <row r="43" ht="16.5" spans="1:9">
      <c r="A43" s="1">
        <v>40</v>
      </c>
      <c r="B43" s="1">
        <v>140</v>
      </c>
      <c r="C43" s="1" t="s">
        <v>699</v>
      </c>
      <c r="D43" s="27" t="s">
        <v>700</v>
      </c>
      <c r="E43" s="27" t="s">
        <v>701</v>
      </c>
      <c r="G43" s="5" t="s">
        <v>702</v>
      </c>
      <c r="H43" s="5" t="s">
        <v>703</v>
      </c>
      <c r="I43" s="5" t="s">
        <v>704</v>
      </c>
    </row>
    <row r="44" ht="16.5" spans="1:9">
      <c r="A44" s="1">
        <v>41</v>
      </c>
      <c r="B44" s="1">
        <v>141</v>
      </c>
      <c r="C44" s="1" t="s">
        <v>705</v>
      </c>
      <c r="D44" s="1">
        <v>2.23e+31</v>
      </c>
      <c r="E44" s="1">
        <v>9.25e+20</v>
      </c>
      <c r="G44" t="s">
        <v>706</v>
      </c>
      <c r="H44" t="s">
        <v>707</v>
      </c>
      <c r="I44" t="s">
        <v>708</v>
      </c>
    </row>
    <row r="45" ht="16.5" spans="1:9">
      <c r="A45" s="1">
        <v>42</v>
      </c>
      <c r="B45" s="1">
        <v>142</v>
      </c>
      <c r="C45" s="1" t="s">
        <v>709</v>
      </c>
      <c r="D45" s="1">
        <v>1.14e+32</v>
      </c>
      <c r="E45" s="1">
        <v>1.27e+21</v>
      </c>
      <c r="G45" t="s">
        <v>710</v>
      </c>
      <c r="H45" t="s">
        <v>711</v>
      </c>
      <c r="I45" t="s">
        <v>712</v>
      </c>
    </row>
    <row r="46" ht="16.5" spans="1:9">
      <c r="A46" s="1">
        <v>43</v>
      </c>
      <c r="B46" s="1">
        <v>143</v>
      </c>
      <c r="C46" s="1" t="s">
        <v>713</v>
      </c>
      <c r="D46" s="1">
        <v>6.04e+32</v>
      </c>
      <c r="E46" s="1">
        <v>1.72e+21</v>
      </c>
      <c r="G46" t="s">
        <v>714</v>
      </c>
      <c r="H46" t="s">
        <v>715</v>
      </c>
      <c r="I46" t="s">
        <v>716</v>
      </c>
    </row>
    <row r="47" ht="16.5" spans="1:9">
      <c r="A47" s="1">
        <v>44</v>
      </c>
      <c r="B47" s="1">
        <v>144</v>
      </c>
      <c r="C47" s="1" t="s">
        <v>717</v>
      </c>
      <c r="D47" s="1">
        <v>3.19e+33</v>
      </c>
      <c r="E47" s="1">
        <v>2.32e+21</v>
      </c>
      <c r="G47" t="s">
        <v>718</v>
      </c>
      <c r="H47" t="s">
        <v>719</v>
      </c>
      <c r="I47" t="s">
        <v>720</v>
      </c>
    </row>
    <row r="48" ht="16.5" spans="1:9">
      <c r="A48" s="1">
        <v>45</v>
      </c>
      <c r="B48" s="1">
        <v>145</v>
      </c>
      <c r="C48" s="1" t="s">
        <v>721</v>
      </c>
      <c r="D48" s="1">
        <v>1.63e+34</v>
      </c>
      <c r="E48" s="1">
        <v>3.1e+21</v>
      </c>
      <c r="G48" t="s">
        <v>722</v>
      </c>
      <c r="H48" t="s">
        <v>723</v>
      </c>
      <c r="I48" t="s">
        <v>724</v>
      </c>
    </row>
    <row r="49" ht="16.5" spans="1:9">
      <c r="A49" s="1">
        <v>46</v>
      </c>
      <c r="B49" s="1">
        <v>146</v>
      </c>
      <c r="C49" s="1" t="s">
        <v>725</v>
      </c>
      <c r="D49" s="1">
        <v>8.6e+34</v>
      </c>
      <c r="E49" s="1">
        <v>4.13e+21</v>
      </c>
      <c r="G49" t="s">
        <v>726</v>
      </c>
      <c r="H49" t="s">
        <v>727</v>
      </c>
      <c r="I49" t="s">
        <v>728</v>
      </c>
    </row>
    <row r="50" ht="16.5" spans="1:9">
      <c r="A50" s="1">
        <v>47</v>
      </c>
      <c r="B50" s="1">
        <v>147</v>
      </c>
      <c r="C50" s="1" t="s">
        <v>729</v>
      </c>
      <c r="D50" s="1">
        <v>4.4e+35</v>
      </c>
      <c r="E50" s="1">
        <v>5.46e+21</v>
      </c>
      <c r="G50" t="s">
        <v>730</v>
      </c>
      <c r="H50" t="s">
        <v>731</v>
      </c>
      <c r="I50" t="s">
        <v>732</v>
      </c>
    </row>
    <row r="51" ht="16.5" spans="1:9">
      <c r="A51" s="1">
        <v>48</v>
      </c>
      <c r="B51" s="1">
        <v>148</v>
      </c>
      <c r="C51" s="1" t="s">
        <v>733</v>
      </c>
      <c r="D51" s="1">
        <v>2.31e+36</v>
      </c>
      <c r="E51" s="1">
        <v>7.18e+21</v>
      </c>
      <c r="G51" t="s">
        <v>734</v>
      </c>
      <c r="H51" t="s">
        <v>735</v>
      </c>
      <c r="I51" t="s">
        <v>736</v>
      </c>
    </row>
    <row r="52" ht="16.5" spans="1:9">
      <c r="A52" s="1">
        <v>49</v>
      </c>
      <c r="B52" s="1">
        <v>149</v>
      </c>
      <c r="C52" s="1" t="s">
        <v>737</v>
      </c>
      <c r="D52" s="1">
        <v>1.22e+37</v>
      </c>
      <c r="E52" s="1">
        <v>9.39e+21</v>
      </c>
      <c r="G52" t="s">
        <v>738</v>
      </c>
      <c r="H52" t="s">
        <v>739</v>
      </c>
      <c r="I52" t="s">
        <v>740</v>
      </c>
    </row>
    <row r="53" ht="16.5" spans="1:9">
      <c r="A53" s="1">
        <v>50</v>
      </c>
      <c r="B53" s="1">
        <v>150</v>
      </c>
      <c r="C53" s="1" t="s">
        <v>741</v>
      </c>
      <c r="D53" s="1">
        <v>6.2e+37</v>
      </c>
      <c r="E53" s="1">
        <v>1.22e+22</v>
      </c>
      <c r="G53" t="s">
        <v>742</v>
      </c>
      <c r="H53" t="s">
        <v>743</v>
      </c>
      <c r="I53" t="s">
        <v>744</v>
      </c>
    </row>
    <row r="54" ht="16.5" spans="1:9">
      <c r="A54" s="1">
        <v>51</v>
      </c>
      <c r="B54" s="1">
        <v>151</v>
      </c>
      <c r="C54" s="1" t="s">
        <v>745</v>
      </c>
      <c r="D54" s="1">
        <v>3.25e+38</v>
      </c>
      <c r="E54" s="1">
        <v>1.58e+22</v>
      </c>
      <c r="G54" t="s">
        <v>746</v>
      </c>
      <c r="H54" t="s">
        <v>747</v>
      </c>
      <c r="I54" t="s">
        <v>748</v>
      </c>
    </row>
    <row r="55" ht="16.5" spans="1:9">
      <c r="A55" s="1">
        <v>52</v>
      </c>
      <c r="B55" s="1">
        <v>152</v>
      </c>
      <c r="C55" s="1" t="s">
        <v>749</v>
      </c>
      <c r="D55" s="1">
        <v>1.7e+39</v>
      </c>
      <c r="E55" s="1">
        <v>2.03e+22</v>
      </c>
      <c r="G55" t="s">
        <v>750</v>
      </c>
      <c r="H55" t="s">
        <v>751</v>
      </c>
      <c r="I55" t="s">
        <v>752</v>
      </c>
    </row>
    <row r="56" ht="16.5" spans="1:9">
      <c r="A56" s="1">
        <v>53</v>
      </c>
      <c r="B56" s="1">
        <v>153</v>
      </c>
      <c r="C56" s="1" t="s">
        <v>753</v>
      </c>
      <c r="D56" s="1">
        <v>8.69e+39</v>
      </c>
      <c r="E56" s="1">
        <v>2.6e+22</v>
      </c>
      <c r="G56" t="s">
        <v>754</v>
      </c>
      <c r="H56" t="s">
        <v>755</v>
      </c>
      <c r="I56" t="s">
        <v>756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zoomScale="85" zoomScaleNormal="85" workbookViewId="0">
      <selection activeCell="E23" sqref="E23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5" width="28" style="2" customWidth="1"/>
    <col min="6" max="6" width="13.75" style="2" customWidth="1"/>
    <col min="7" max="7" width="48.75" style="2" customWidth="1"/>
    <col min="8" max="8" width="57.1333333333333" style="2" customWidth="1"/>
    <col min="9" max="16384" width="9" style="2"/>
  </cols>
  <sheetData>
    <row r="1" s="2" customFormat="1" ht="16.5" spans="1:1024 1025:16384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54</v>
      </c>
      <c r="G1" s="1" t="s">
        <v>153</v>
      </c>
      <c r="H1" s="1" t="s">
        <v>757</v>
      </c>
    </row>
    <row r="2" s="2" customFormat="1" ht="16.5" spans="1:1024 1025:16384">
      <c r="A2" s="1" t="s">
        <v>13</v>
      </c>
      <c r="B2" s="1" t="s">
        <v>758</v>
      </c>
      <c r="C2" s="1" t="s">
        <v>156</v>
      </c>
      <c r="D2" s="1" t="s">
        <v>469</v>
      </c>
      <c r="E2" s="1" t="s">
        <v>59</v>
      </c>
      <c r="F2" s="1" t="s">
        <v>58</v>
      </c>
      <c r="G2" s="1" t="s">
        <v>471</v>
      </c>
      <c r="H2" s="1" t="s">
        <v>470</v>
      </c>
    </row>
    <row r="3" s="2" customFormat="1" ht="16.5" spans="1:1024 1025:16384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7</v>
      </c>
      <c r="H3" s="1" t="s">
        <v>7</v>
      </c>
    </row>
    <row r="4" s="2" customFormat="1" ht="16.5" spans="1:1024 1025:16384">
      <c r="A4" s="1">
        <v>1</v>
      </c>
      <c r="B4" s="1">
        <v>101</v>
      </c>
      <c r="C4" s="1" t="s">
        <v>759</v>
      </c>
      <c r="D4" s="1">
        <v>3750</v>
      </c>
      <c r="E4" s="1">
        <v>1.5</v>
      </c>
      <c r="F4" s="1"/>
      <c r="G4" s="1" t="s">
        <v>760</v>
      </c>
      <c r="H4" s="1" t="s">
        <v>761</v>
      </c>
    </row>
    <row r="5" s="2" customFormat="1" ht="16.5" spans="1:1024 1025:16384">
      <c r="A5" s="1">
        <v>2</v>
      </c>
      <c r="B5" s="1">
        <v>102</v>
      </c>
      <c r="C5" s="1" t="s">
        <v>762</v>
      </c>
      <c r="D5" s="27" t="s">
        <v>763</v>
      </c>
      <c r="E5" s="1">
        <v>2.5</v>
      </c>
      <c r="F5" s="1"/>
      <c r="G5" s="1" t="s">
        <v>764</v>
      </c>
      <c r="H5" s="1" t="s">
        <v>765</v>
      </c>
    </row>
    <row r="6" s="2" customFormat="1" ht="16.5" spans="1:1024 1025:16384">
      <c r="A6" s="1">
        <v>3</v>
      </c>
      <c r="B6" s="1">
        <v>103</v>
      </c>
      <c r="C6" s="1" t="s">
        <v>766</v>
      </c>
      <c r="D6" s="27" t="s">
        <v>767</v>
      </c>
      <c r="E6" s="1">
        <v>3.5</v>
      </c>
      <c r="F6" s="1"/>
      <c r="G6" s="1" t="s">
        <v>768</v>
      </c>
      <c r="H6" s="1" t="s">
        <v>769</v>
      </c>
    </row>
    <row r="7" s="2" customFormat="1" ht="16.5" spans="1:1024 1025:16384">
      <c r="A7" s="1">
        <v>4</v>
      </c>
      <c r="B7" s="1">
        <v>104</v>
      </c>
      <c r="C7" s="1" t="s">
        <v>770</v>
      </c>
      <c r="D7" s="27" t="s">
        <v>771</v>
      </c>
      <c r="E7" s="1">
        <v>4.5</v>
      </c>
      <c r="F7" s="1"/>
      <c r="G7" s="1" t="s">
        <v>772</v>
      </c>
      <c r="H7" s="1" t="s">
        <v>773</v>
      </c>
    </row>
    <row r="8" s="2" customFormat="1" ht="16.5" spans="1:1024 1025:16384">
      <c r="A8" s="1">
        <v>5</v>
      </c>
      <c r="B8" s="1">
        <v>105</v>
      </c>
      <c r="C8" s="1" t="s">
        <v>774</v>
      </c>
      <c r="D8" s="27" t="s">
        <v>775</v>
      </c>
      <c r="E8" s="1">
        <v>5.5</v>
      </c>
      <c r="F8" s="1"/>
      <c r="G8" s="1" t="s">
        <v>776</v>
      </c>
      <c r="H8" s="1" t="s">
        <v>777</v>
      </c>
    </row>
    <row r="9" s="2" customFormat="1" ht="16.5" spans="1:1024 1025:16384">
      <c r="A9" s="1">
        <v>6</v>
      </c>
      <c r="B9" s="1">
        <v>106</v>
      </c>
      <c r="C9" s="1" t="s">
        <v>778</v>
      </c>
      <c r="D9" s="27" t="s">
        <v>779</v>
      </c>
      <c r="E9" s="1">
        <v>6.5</v>
      </c>
      <c r="F9" s="2"/>
      <c r="G9" s="1" t="s">
        <v>780</v>
      </c>
      <c r="H9" s="1" t="s">
        <v>781</v>
      </c>
    </row>
    <row r="10" s="2" customFormat="1" ht="16.5" spans="1:1024 1025:16384">
      <c r="A10" s="1">
        <v>7</v>
      </c>
      <c r="B10" s="1">
        <v>107</v>
      </c>
      <c r="C10" s="1" t="s">
        <v>782</v>
      </c>
      <c r="D10" s="27" t="s">
        <v>783</v>
      </c>
      <c r="E10" s="1">
        <v>7.5</v>
      </c>
      <c r="F10" s="2"/>
      <c r="G10" s="1" t="s">
        <v>784</v>
      </c>
      <c r="H10" s="1" t="s">
        <v>785</v>
      </c>
    </row>
    <row r="11" s="2" customFormat="1" ht="16.5" spans="1:1024 1025:16384">
      <c r="A11" s="1">
        <v>8</v>
      </c>
      <c r="B11" s="1">
        <v>108</v>
      </c>
      <c r="C11" s="1" t="s">
        <v>786</v>
      </c>
      <c r="D11" s="27" t="s">
        <v>787</v>
      </c>
      <c r="E11" s="1">
        <v>8.5</v>
      </c>
      <c r="F11" s="2"/>
      <c r="G11" s="1" t="s">
        <v>788</v>
      </c>
      <c r="H11" s="1" t="s">
        <v>789</v>
      </c>
    </row>
    <row r="12" s="2" customFormat="1" ht="16.5" spans="1:1024 1025:16384">
      <c r="A12" s="1">
        <v>9</v>
      </c>
      <c r="B12" s="1">
        <v>109</v>
      </c>
      <c r="C12" s="1" t="s">
        <v>790</v>
      </c>
      <c r="D12" s="27" t="s">
        <v>791</v>
      </c>
      <c r="E12" s="4">
        <v>9.5</v>
      </c>
      <c r="G12" s="1" t="s">
        <v>792</v>
      </c>
      <c r="H12" s="1" t="s">
        <v>793</v>
      </c>
    </row>
    <row r="13" s="2" customFormat="1" ht="16.5" spans="1:1024 1025:16384">
      <c r="A13" s="1">
        <v>10</v>
      </c>
      <c r="B13" s="1">
        <v>110</v>
      </c>
      <c r="C13" s="1" t="s">
        <v>794</v>
      </c>
      <c r="D13" s="27" t="s">
        <v>795</v>
      </c>
      <c r="E13" s="1">
        <v>12.5</v>
      </c>
      <c r="F13" s="1"/>
      <c r="G13" s="1" t="s">
        <v>796</v>
      </c>
      <c r="H13" s="1" t="s">
        <v>797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>
        <v>11</v>
      </c>
      <c r="B14" s="1">
        <v>111</v>
      </c>
      <c r="C14" s="1" t="s">
        <v>798</v>
      </c>
      <c r="D14" s="27" t="s">
        <v>799</v>
      </c>
      <c r="E14" s="1">
        <v>15.9</v>
      </c>
      <c r="F14" s="1"/>
      <c r="G14" s="1" t="s">
        <v>800</v>
      </c>
      <c r="H14" s="1" t="s">
        <v>801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>
        <v>12</v>
      </c>
      <c r="B15" s="1">
        <v>112</v>
      </c>
      <c r="C15" s="1" t="s">
        <v>802</v>
      </c>
      <c r="D15" s="27" t="s">
        <v>803</v>
      </c>
      <c r="E15" s="1">
        <v>19.7</v>
      </c>
      <c r="F15" s="1"/>
      <c r="G15" s="1" t="s">
        <v>804</v>
      </c>
      <c r="H15" s="1" t="s">
        <v>805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>
        <v>13</v>
      </c>
      <c r="B16" s="1">
        <v>113</v>
      </c>
      <c r="C16" s="1" t="s">
        <v>806</v>
      </c>
      <c r="D16" s="27" t="s">
        <v>807</v>
      </c>
      <c r="E16" s="1">
        <v>21.3</v>
      </c>
      <c r="F16" s="1"/>
      <c r="G16" s="1" t="s">
        <v>808</v>
      </c>
      <c r="H16" s="1" t="s">
        <v>809</v>
      </c>
    </row>
    <row r="17" ht="16.5" spans="1:8">
      <c r="A17" s="1">
        <v>14</v>
      </c>
      <c r="B17" s="1">
        <v>114</v>
      </c>
      <c r="C17" s="1" t="s">
        <v>810</v>
      </c>
      <c r="D17" s="27" t="s">
        <v>811</v>
      </c>
      <c r="E17" s="1">
        <v>22.9</v>
      </c>
      <c r="F17" s="1"/>
      <c r="G17" s="1" t="s">
        <v>812</v>
      </c>
      <c r="H17" s="1" t="s">
        <v>813</v>
      </c>
    </row>
    <row r="18" ht="16.5" spans="1:8">
      <c r="A18" s="1">
        <v>15</v>
      </c>
      <c r="B18" s="1">
        <v>115</v>
      </c>
      <c r="C18" s="1" t="s">
        <v>814</v>
      </c>
      <c r="D18" s="27" t="s">
        <v>815</v>
      </c>
      <c r="E18" s="1">
        <v>24.5</v>
      </c>
      <c r="F18" s="1"/>
      <c r="G18" s="1" t="s">
        <v>816</v>
      </c>
      <c r="H18" s="1" t="s">
        <v>817</v>
      </c>
    </row>
    <row r="19" ht="16.5" spans="1:8">
      <c r="A19" s="1">
        <v>16</v>
      </c>
      <c r="B19" s="1">
        <v>116</v>
      </c>
      <c r="C19" s="1" t="s">
        <v>818</v>
      </c>
      <c r="D19" s="27" t="s">
        <v>819</v>
      </c>
      <c r="E19" s="1">
        <v>26.1</v>
      </c>
      <c r="F19" s="1"/>
      <c r="G19" s="1" t="s">
        <v>820</v>
      </c>
      <c r="H19" s="1" t="s">
        <v>821</v>
      </c>
    </row>
    <row r="20" ht="16.5" spans="1:8">
      <c r="A20" s="1">
        <v>17</v>
      </c>
      <c r="B20" s="1">
        <v>117</v>
      </c>
      <c r="C20" s="1" t="s">
        <v>822</v>
      </c>
      <c r="D20" s="27" t="s">
        <v>823</v>
      </c>
      <c r="E20" s="1">
        <v>27.7</v>
      </c>
      <c r="F20" s="1"/>
      <c r="G20" s="1" t="s">
        <v>824</v>
      </c>
      <c r="H20" s="1" t="s">
        <v>825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826</v>
      </c>
      <c r="B1" s="1" t="s">
        <v>827</v>
      </c>
      <c r="C1" s="1" t="s">
        <v>828</v>
      </c>
    </row>
    <row r="2" ht="16.5" spans="1:5">
      <c r="A2" s="1" t="s">
        <v>26</v>
      </c>
      <c r="B2" s="1" t="s">
        <v>829</v>
      </c>
      <c r="C2" s="1" t="s">
        <v>830</v>
      </c>
    </row>
    <row r="3" ht="16.5" spans="1:5">
      <c r="A3" s="1" t="s">
        <v>7</v>
      </c>
      <c r="B3" s="1" t="s">
        <v>61</v>
      </c>
      <c r="C3" s="1" t="s">
        <v>7</v>
      </c>
    </row>
    <row r="4" spans="1:5">
      <c r="A4" s="2" t="s">
        <v>831</v>
      </c>
      <c r="B4" s="2">
        <v>29</v>
      </c>
      <c r="C4" s="2" t="s">
        <v>832</v>
      </c>
      <c r="D4" s="2"/>
      <c r="E4" s="2"/>
    </row>
    <row r="5" spans="1:5">
      <c r="A5" s="2" t="s">
        <v>833</v>
      </c>
      <c r="B5" s="2">
        <v>122</v>
      </c>
      <c r="C5" s="2" t="s">
        <v>834</v>
      </c>
    </row>
    <row r="6" spans="1:5">
      <c r="A6" s="2" t="s">
        <v>835</v>
      </c>
      <c r="B6" s="2">
        <v>520</v>
      </c>
      <c r="C6" s="2" t="s">
        <v>836</v>
      </c>
    </row>
    <row r="7" spans="1:5">
      <c r="A7" s="2" t="s">
        <v>837</v>
      </c>
      <c r="B7" s="2">
        <v>2176</v>
      </c>
      <c r="C7" s="2" t="s">
        <v>838</v>
      </c>
    </row>
    <row r="8" spans="1:5">
      <c r="A8" s="2" t="s">
        <v>839</v>
      </c>
      <c r="B8" s="2">
        <v>9101</v>
      </c>
      <c r="C8" s="2" t="s">
        <v>840</v>
      </c>
    </row>
    <row r="9" spans="1:5">
      <c r="A9" s="2" t="s">
        <v>841</v>
      </c>
      <c r="B9" s="28" t="s">
        <v>842</v>
      </c>
      <c r="C9" s="2" t="s">
        <v>843</v>
      </c>
    </row>
    <row r="10" spans="1:5">
      <c r="A10" s="2" t="s">
        <v>844</v>
      </c>
      <c r="B10" s="28" t="s">
        <v>845</v>
      </c>
      <c r="C10" s="2" t="s">
        <v>846</v>
      </c>
    </row>
    <row r="11" spans="1:5">
      <c r="A11" s="2" t="s">
        <v>847</v>
      </c>
      <c r="B11" s="28" t="s">
        <v>848</v>
      </c>
      <c r="C11" s="2" t="s">
        <v>849</v>
      </c>
    </row>
    <row r="12" spans="1:5">
      <c r="A12" s="2" t="s">
        <v>850</v>
      </c>
      <c r="B12" s="28" t="s">
        <v>851</v>
      </c>
      <c r="C12" s="2" t="s">
        <v>852</v>
      </c>
    </row>
    <row r="13" spans="1:5">
      <c r="A13" s="2" t="s">
        <v>853</v>
      </c>
      <c r="B13" s="28" t="s">
        <v>854</v>
      </c>
      <c r="C13" s="2" t="s">
        <v>855</v>
      </c>
    </row>
    <row r="14" spans="1:5">
      <c r="A14" s="2" t="s">
        <v>856</v>
      </c>
      <c r="B14" s="28" t="s">
        <v>857</v>
      </c>
      <c r="C14" s="2" t="s">
        <v>858</v>
      </c>
    </row>
    <row r="15" spans="1:5">
      <c r="A15" s="2" t="s">
        <v>859</v>
      </c>
      <c r="B15" s="28" t="s">
        <v>860</v>
      </c>
      <c r="C15" s="2" t="s">
        <v>861</v>
      </c>
    </row>
    <row r="16" spans="1:5">
      <c r="A16" s="2" t="s">
        <v>862</v>
      </c>
      <c r="B16" s="28" t="s">
        <v>863</v>
      </c>
      <c r="C16" s="2" t="s">
        <v>864</v>
      </c>
    </row>
    <row r="17" spans="1:3">
      <c r="A17" s="2" t="s">
        <v>865</v>
      </c>
      <c r="B17" s="28" t="s">
        <v>866</v>
      </c>
      <c r="C17" s="2" t="s">
        <v>867</v>
      </c>
    </row>
    <row r="18" spans="1:3">
      <c r="A18" s="2" t="s">
        <v>868</v>
      </c>
      <c r="B18" s="28" t="s">
        <v>869</v>
      </c>
      <c r="C18" s="2" t="s">
        <v>870</v>
      </c>
    </row>
    <row r="19" spans="1:3">
      <c r="A19" s="2" t="s">
        <v>871</v>
      </c>
      <c r="B19" s="28" t="s">
        <v>872</v>
      </c>
      <c r="C19" s="2" t="s">
        <v>873</v>
      </c>
    </row>
    <row r="20" spans="1:3">
      <c r="A20" s="2" t="s">
        <v>874</v>
      </c>
      <c r="B20" s="28" t="s">
        <v>875</v>
      </c>
      <c r="C20" s="2" t="s">
        <v>876</v>
      </c>
    </row>
    <row r="21" spans="1:3">
      <c r="A21" s="2" t="s">
        <v>877</v>
      </c>
      <c r="B21" s="28" t="s">
        <v>878</v>
      </c>
      <c r="C21" s="2" t="s">
        <v>879</v>
      </c>
    </row>
    <row r="22" spans="1:3">
      <c r="A22" s="2" t="s">
        <v>880</v>
      </c>
      <c r="B22" s="28" t="s">
        <v>881</v>
      </c>
      <c r="C22" s="2" t="s">
        <v>882</v>
      </c>
    </row>
    <row r="23" spans="1:3">
      <c r="A23" s="2" t="s">
        <v>883</v>
      </c>
      <c r="B23" s="28" t="s">
        <v>884</v>
      </c>
      <c r="C23" s="2" t="s">
        <v>885</v>
      </c>
    </row>
    <row r="24" spans="1:3">
      <c r="A24" s="2" t="s">
        <v>886</v>
      </c>
      <c r="B24" s="28" t="s">
        <v>887</v>
      </c>
      <c r="C24" s="2" t="s">
        <v>888</v>
      </c>
    </row>
    <row r="25" spans="1:3">
      <c r="A25" s="2" t="s">
        <v>889</v>
      </c>
      <c r="B25" s="28" t="s">
        <v>890</v>
      </c>
      <c r="C25" s="2" t="s">
        <v>891</v>
      </c>
    </row>
    <row r="26" spans="1:3">
      <c r="A26" s="2" t="s">
        <v>892</v>
      </c>
      <c r="B26" s="28" t="s">
        <v>893</v>
      </c>
      <c r="C26" s="2" t="s">
        <v>894</v>
      </c>
    </row>
    <row r="27" spans="1:3">
      <c r="A27" s="2" t="s">
        <v>895</v>
      </c>
      <c r="B27" s="28" t="s">
        <v>896</v>
      </c>
      <c r="C27" s="2" t="s">
        <v>897</v>
      </c>
    </row>
    <row r="28" spans="1:3">
      <c r="A28" s="2" t="s">
        <v>898</v>
      </c>
      <c r="B28" s="28" t="s">
        <v>899</v>
      </c>
      <c r="C28" s="2" t="s">
        <v>900</v>
      </c>
    </row>
    <row r="29" spans="1:3">
      <c r="A29" s="2" t="s">
        <v>901</v>
      </c>
      <c r="B29" s="28" t="s">
        <v>902</v>
      </c>
      <c r="C29" s="2" t="s">
        <v>903</v>
      </c>
    </row>
    <row r="30" spans="1:3">
      <c r="A30" s="2" t="s">
        <v>904</v>
      </c>
      <c r="B30" s="28" t="s">
        <v>905</v>
      </c>
      <c r="C30" s="2" t="s">
        <v>906</v>
      </c>
    </row>
    <row r="31" spans="1:3">
      <c r="A31" s="2" t="s">
        <v>907</v>
      </c>
      <c r="B31" s="28" t="s">
        <v>908</v>
      </c>
      <c r="C31" s="2" t="s">
        <v>909</v>
      </c>
    </row>
    <row r="32" spans="1:3">
      <c r="A32" s="2" t="s">
        <v>910</v>
      </c>
      <c r="B32" s="28" t="s">
        <v>911</v>
      </c>
      <c r="C32" s="2" t="s">
        <v>912</v>
      </c>
    </row>
    <row r="33" spans="1:3">
      <c r="A33" s="2" t="s">
        <v>913</v>
      </c>
      <c r="B33" s="28" t="s">
        <v>914</v>
      </c>
      <c r="C33" s="2" t="s">
        <v>915</v>
      </c>
    </row>
    <row r="34" spans="1:3">
      <c r="A34" s="2" t="s">
        <v>916</v>
      </c>
      <c r="B34" s="28" t="s">
        <v>917</v>
      </c>
      <c r="C34" s="2" t="s">
        <v>918</v>
      </c>
    </row>
    <row r="35" spans="1:3">
      <c r="A35" s="2" t="s">
        <v>919</v>
      </c>
      <c r="B35" s="28" t="s">
        <v>920</v>
      </c>
      <c r="C35" s="2" t="s">
        <v>921</v>
      </c>
    </row>
    <row r="36" spans="1:3">
      <c r="A36" s="2" t="s">
        <v>922</v>
      </c>
      <c r="B36" s="28" t="s">
        <v>923</v>
      </c>
      <c r="C36" s="2" t="s">
        <v>924</v>
      </c>
    </row>
    <row r="37" spans="1:3">
      <c r="A37" s="2" t="s">
        <v>925</v>
      </c>
      <c r="B37" s="28" t="s">
        <v>926</v>
      </c>
      <c r="C37" s="2" t="s">
        <v>927</v>
      </c>
    </row>
    <row r="38" spans="1:3">
      <c r="A38" s="2" t="s">
        <v>928</v>
      </c>
      <c r="B38" s="28" t="s">
        <v>929</v>
      </c>
      <c r="C38" s="2" t="s">
        <v>930</v>
      </c>
    </row>
    <row r="39" spans="1:3">
      <c r="A39" s="2" t="s">
        <v>931</v>
      </c>
      <c r="B39" s="28" t="s">
        <v>932</v>
      </c>
      <c r="C39" s="2" t="s">
        <v>933</v>
      </c>
    </row>
    <row r="40" spans="1:3">
      <c r="A40" s="2" t="s">
        <v>934</v>
      </c>
      <c r="B40" s="28" t="s">
        <v>935</v>
      </c>
      <c r="C40" s="2" t="s">
        <v>936</v>
      </c>
    </row>
    <row r="41" spans="1:3">
      <c r="A41" s="2" t="s">
        <v>937</v>
      </c>
      <c r="B41" s="28" t="s">
        <v>938</v>
      </c>
      <c r="C41" s="2" t="s">
        <v>939</v>
      </c>
    </row>
    <row r="42" spans="1:3">
      <c r="A42" s="2" t="s">
        <v>940</v>
      </c>
      <c r="B42" s="28" t="s">
        <v>941</v>
      </c>
      <c r="C42" s="2" t="s">
        <v>942</v>
      </c>
    </row>
    <row r="43" spans="1:3">
      <c r="A43" s="2" t="s">
        <v>943</v>
      </c>
      <c r="B43" s="29" t="s">
        <v>944</v>
      </c>
      <c r="C43" s="2" t="s">
        <v>945</v>
      </c>
    </row>
    <row r="44" spans="1:3">
      <c r="A44" s="2" t="s">
        <v>946</v>
      </c>
      <c r="B44" s="29" t="s">
        <v>947</v>
      </c>
      <c r="C44" s="2" t="s">
        <v>948</v>
      </c>
    </row>
    <row r="45" spans="1:3">
      <c r="A45" s="2" t="s">
        <v>949</v>
      </c>
      <c r="B45" s="29" t="s">
        <v>950</v>
      </c>
      <c r="C45" s="2" t="s">
        <v>951</v>
      </c>
    </row>
    <row r="46" spans="1:3">
      <c r="A46" s="2" t="s">
        <v>952</v>
      </c>
      <c r="B46" s="29" t="s">
        <v>953</v>
      </c>
      <c r="C46" s="2" t="s">
        <v>954</v>
      </c>
    </row>
    <row r="47" spans="1:3">
      <c r="A47" s="2" t="s">
        <v>955</v>
      </c>
      <c r="B47" s="29" t="s">
        <v>956</v>
      </c>
      <c r="C47" s="2" t="s">
        <v>957</v>
      </c>
    </row>
    <row r="48" spans="1:3">
      <c r="A48" s="2" t="s">
        <v>958</v>
      </c>
      <c r="B48" s="29" t="s">
        <v>959</v>
      </c>
      <c r="C48" s="2" t="s">
        <v>960</v>
      </c>
    </row>
    <row r="49" spans="1:3">
      <c r="A49" s="2" t="s">
        <v>961</v>
      </c>
      <c r="B49" s="29" t="s">
        <v>962</v>
      </c>
      <c r="C49" s="2" t="s">
        <v>963</v>
      </c>
    </row>
    <row r="50" spans="1:3">
      <c r="A50" s="2" t="s">
        <v>964</v>
      </c>
      <c r="B50" s="29" t="s">
        <v>965</v>
      </c>
      <c r="C50" s="2" t="s">
        <v>966</v>
      </c>
    </row>
    <row r="51" spans="1:3">
      <c r="A51" s="2" t="s">
        <v>967</v>
      </c>
      <c r="B51" s="29" t="s">
        <v>968</v>
      </c>
      <c r="C51" s="2" t="s">
        <v>969</v>
      </c>
    </row>
    <row r="52" spans="1:3">
      <c r="A52" s="2" t="s">
        <v>970</v>
      </c>
      <c r="B52" s="29" t="s">
        <v>971</v>
      </c>
      <c r="C52" s="2" t="s">
        <v>972</v>
      </c>
    </row>
    <row r="53" spans="1:3">
      <c r="A53" s="2" t="s">
        <v>973</v>
      </c>
      <c r="B53" s="29" t="s">
        <v>974</v>
      </c>
      <c r="C53" s="2" t="s">
        <v>975</v>
      </c>
    </row>
    <row r="54" spans="1:3">
      <c r="A54" s="2" t="s">
        <v>976</v>
      </c>
      <c r="B54" s="29" t="s">
        <v>977</v>
      </c>
      <c r="C54" s="2" t="s">
        <v>978</v>
      </c>
    </row>
    <row r="55" spans="1:3">
      <c r="A55" s="2" t="s">
        <v>979</v>
      </c>
      <c r="B55" s="29" t="s">
        <v>980</v>
      </c>
      <c r="C55" s="2" t="s">
        <v>981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SlicerConfig</vt:lpstr>
      <vt:lpstr>TrailConfig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2026-10-09T12:02:07Z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